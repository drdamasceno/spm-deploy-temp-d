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.damasceno/Downloads/"/>
    </mc:Choice>
  </mc:AlternateContent>
  <xr:revisionPtr revIDLastSave="0" documentId="13_ncr:1_{C1D6D471-DE60-B94D-8C1E-07C6A1BF60C2}" xr6:coauthVersionLast="47" xr6:coauthVersionMax="47" xr10:uidLastSave="{00000000-0000-0000-0000-000000000000}"/>
  <bookViews>
    <workbookView xWindow="28800" yWindow="-3600" windowWidth="38400" windowHeight="21600" xr2:uid="{00000000-000D-0000-FFFF-FFFF00000000}"/>
  </bookViews>
  <sheets>
    <sheet name="Contas a Pagar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2" l="1"/>
  <c r="F5" i="1"/>
  <c r="H226" i="1"/>
  <c r="H235" i="1"/>
  <c r="H246" i="1"/>
  <c r="F125" i="1" l="1"/>
  <c r="F235" i="1"/>
  <c r="F115" i="1"/>
  <c r="F87" i="1"/>
  <c r="F66" i="1"/>
  <c r="J80" i="1"/>
  <c r="G125" i="1"/>
  <c r="G87" i="1"/>
  <c r="G66" i="1"/>
  <c r="G246" i="1"/>
  <c r="G5" i="1"/>
  <c r="H5" i="1"/>
  <c r="J151" i="1"/>
  <c r="J150" i="1"/>
  <c r="J149" i="1"/>
  <c r="J148" i="1"/>
  <c r="G287" i="1" l="1"/>
  <c r="F288" i="1"/>
  <c r="F292" i="1" s="1"/>
  <c r="F294" i="1" s="1"/>
  <c r="F226" i="1"/>
  <c r="F229" i="1" s="1"/>
  <c r="G226" i="1"/>
  <c r="J224" i="1"/>
  <c r="J223" i="1"/>
  <c r="J222" i="1"/>
  <c r="J144" i="1"/>
  <c r="J135" i="1"/>
  <c r="H115" i="1"/>
  <c r="G115" i="1"/>
  <c r="J79" i="1"/>
  <c r="J59" i="1"/>
  <c r="J57" i="1"/>
  <c r="J103" i="1"/>
  <c r="F268" i="1"/>
  <c r="J72" i="1"/>
  <c r="J98" i="1"/>
  <c r="F257" i="1"/>
  <c r="G292" i="1" l="1"/>
  <c r="F246" i="1"/>
  <c r="J142" i="1"/>
  <c r="J11" i="1" l="1"/>
  <c r="J128" i="1"/>
  <c r="J131" i="1"/>
  <c r="J134" i="1"/>
  <c r="J136" i="1"/>
  <c r="J137" i="1"/>
  <c r="J138" i="1"/>
  <c r="J139" i="1"/>
  <c r="J140" i="1"/>
  <c r="J141" i="1"/>
  <c r="J127" i="1"/>
  <c r="J116" i="1"/>
  <c r="J69" i="1"/>
  <c r="J70" i="1"/>
  <c r="J71" i="1"/>
  <c r="J75" i="1"/>
  <c r="J76" i="1"/>
  <c r="J77" i="1"/>
  <c r="J78" i="1"/>
  <c r="J67" i="1"/>
  <c r="J12" i="1"/>
  <c r="J23" i="1"/>
  <c r="J31" i="1"/>
  <c r="J32" i="1"/>
  <c r="J33" i="1"/>
  <c r="J36" i="1"/>
  <c r="J37" i="1"/>
  <c r="J39" i="1"/>
  <c r="J40" i="1"/>
  <c r="J41" i="1"/>
  <c r="J43" i="1"/>
  <c r="J47" i="1"/>
  <c r="J48" i="1"/>
  <c r="J49" i="1"/>
  <c r="J174" i="1"/>
  <c r="J117" i="1"/>
  <c r="J118" i="1"/>
  <c r="J119" i="1"/>
  <c r="J120" i="1"/>
  <c r="J121" i="1"/>
  <c r="J73" i="1" l="1"/>
  <c r="J115" i="1"/>
  <c r="J54" i="1"/>
  <c r="J55" i="1"/>
  <c r="J56" i="1"/>
  <c r="J53" i="1"/>
  <c r="J51" i="1"/>
  <c r="J52" i="1"/>
  <c r="J50" i="1"/>
  <c r="J44" i="1"/>
  <c r="J45" i="1"/>
  <c r="J46" i="1"/>
  <c r="J42" i="1"/>
  <c r="J38" i="1"/>
  <c r="J35" i="1"/>
  <c r="J34" i="1"/>
  <c r="J22" i="1"/>
  <c r="J24" i="1"/>
  <c r="J25" i="1"/>
  <c r="J26" i="1"/>
  <c r="J27" i="1"/>
  <c r="J28" i="1"/>
  <c r="J29" i="1"/>
  <c r="J30" i="1"/>
  <c r="J7" i="1"/>
  <c r="J8" i="1"/>
  <c r="J9" i="1"/>
  <c r="J10" i="1"/>
  <c r="J13" i="1"/>
  <c r="J14" i="1"/>
  <c r="J15" i="1"/>
  <c r="J16" i="1"/>
  <c r="J17" i="1"/>
  <c r="J18" i="1"/>
  <c r="J19" i="1"/>
  <c r="J20" i="1"/>
  <c r="J21" i="1"/>
  <c r="J6" i="1"/>
  <c r="J74" i="1"/>
  <c r="J68" i="1"/>
  <c r="J90" i="1"/>
  <c r="J99" i="1"/>
  <c r="J100" i="1"/>
  <c r="J101" i="1"/>
  <c r="J91" i="1"/>
  <c r="J102" i="1"/>
  <c r="J92" i="1"/>
  <c r="J93" i="1"/>
  <c r="J94" i="1"/>
  <c r="J95" i="1"/>
  <c r="J96" i="1"/>
  <c r="J97" i="1"/>
  <c r="J133" i="1"/>
  <c r="J132" i="1"/>
  <c r="J130" i="1"/>
  <c r="J164" i="1"/>
  <c r="J165" i="1"/>
  <c r="J166" i="1"/>
  <c r="J167" i="1"/>
  <c r="J168" i="1"/>
  <c r="J169" i="1"/>
  <c r="J170" i="1"/>
  <c r="J171" i="1"/>
  <c r="J173" i="1"/>
  <c r="J175" i="1"/>
  <c r="J176" i="1"/>
  <c r="J177" i="1"/>
  <c r="J178" i="1"/>
  <c r="J179" i="1"/>
  <c r="J180" i="1"/>
  <c r="J181" i="1"/>
  <c r="J182" i="1"/>
  <c r="J183" i="1"/>
  <c r="J184" i="1"/>
  <c r="J186" i="1"/>
  <c r="J188" i="1"/>
  <c r="J189" i="1"/>
  <c r="J190" i="1"/>
  <c r="J191" i="1"/>
  <c r="J192" i="1"/>
  <c r="J193" i="1"/>
  <c r="J194" i="1"/>
  <c r="J197" i="1"/>
  <c r="J198" i="1"/>
  <c r="J199" i="1"/>
  <c r="J200" i="1"/>
  <c r="J201" i="1"/>
  <c r="J202" i="1"/>
  <c r="J203" i="1"/>
  <c r="J204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163" i="1"/>
  <c r="J205" i="1"/>
  <c r="J196" i="1"/>
  <c r="J195" i="1"/>
  <c r="J187" i="1"/>
  <c r="J185" i="1"/>
  <c r="J172" i="1"/>
  <c r="J239" i="1"/>
  <c r="J236" i="1"/>
  <c r="J240" i="1"/>
  <c r="J238" i="1"/>
  <c r="J237" i="1"/>
  <c r="J255" i="1"/>
  <c r="J58" i="1"/>
  <c r="J256" i="1"/>
  <c r="J258" i="1"/>
  <c r="J259" i="1"/>
  <c r="J260" i="1"/>
  <c r="J261" i="1"/>
  <c r="J262" i="1"/>
  <c r="J263" i="1"/>
  <c r="J264" i="1"/>
  <c r="J265" i="1"/>
  <c r="J266" i="1"/>
  <c r="J267" i="1"/>
  <c r="J269" i="1"/>
  <c r="J254" i="1"/>
  <c r="J253" i="1"/>
  <c r="J252" i="1"/>
  <c r="J251" i="1"/>
  <c r="J250" i="1"/>
  <c r="J249" i="1"/>
  <c r="J248" i="1"/>
  <c r="J247" i="1"/>
  <c r="J271" i="1"/>
  <c r="J273" i="1"/>
  <c r="J274" i="1"/>
  <c r="J275" i="1"/>
  <c r="J276" i="1"/>
  <c r="J161" i="1" l="1"/>
  <c r="J5" i="1"/>
  <c r="H66" i="1"/>
  <c r="H125" i="1"/>
  <c r="J89" i="1"/>
  <c r="J87" i="1" s="1"/>
  <c r="H87" i="1"/>
  <c r="J270" i="1"/>
  <c r="J246" i="1" s="1"/>
  <c r="J129" i="1"/>
  <c r="J125" i="1" s="1"/>
  <c r="J66" i="1"/>
  <c r="J235" i="1"/>
  <c r="G235" i="1" l="1"/>
  <c r="J289" i="1"/>
  <c r="K289" i="1" s="1"/>
  <c r="J292" i="1" s="1"/>
</calcChain>
</file>

<file path=xl/sharedStrings.xml><?xml version="1.0" encoding="utf-8"?>
<sst xmlns="http://schemas.openxmlformats.org/spreadsheetml/2006/main" count="1216" uniqueCount="389">
  <si>
    <t>Previsão</t>
  </si>
  <si>
    <t>CNPJ/CPF</t>
  </si>
  <si>
    <t>Razão Social</t>
  </si>
  <si>
    <t>Categoria</t>
  </si>
  <si>
    <t>Projeto</t>
  </si>
  <si>
    <t>Valor da Conta</t>
  </si>
  <si>
    <t>Valor Líquido</t>
  </si>
  <si>
    <t>Valor Pago</t>
  </si>
  <si>
    <t>A Pagar</t>
  </si>
  <si>
    <t>Limpeza e serviços gerais</t>
  </si>
  <si>
    <t>AD-ADMINISTRAÇÃO GERAL-SPM</t>
  </si>
  <si>
    <t>78.613.841/0001-61</t>
  </si>
  <si>
    <t>ASSOCIACAO EVANGELICA BENEFICENTE DE LONDRINA</t>
  </si>
  <si>
    <t>Assistência Médica</t>
  </si>
  <si>
    <t>099.563.439-43</t>
  </si>
  <si>
    <t>GABRIELLY CAROLINE SEMMER</t>
  </si>
  <si>
    <t>Comissões de Licitaçoes e Credenciamentos</t>
  </si>
  <si>
    <t>41.600.688/0001-28</t>
  </si>
  <si>
    <t>NOVOENVIOS LTDA</t>
  </si>
  <si>
    <t>Frete/Passagens/despesas viagem/Hospedagem Medicos dos projetos</t>
  </si>
  <si>
    <t>084.434.429-05</t>
  </si>
  <si>
    <t>MARIA EDUARDA MAESTA ARRIGO</t>
  </si>
  <si>
    <t>Salários</t>
  </si>
  <si>
    <t>54.452.306/0001-08</t>
  </si>
  <si>
    <t>54.452.306 NICOLLY SILVA</t>
  </si>
  <si>
    <t>Salarios e Comissão de Escalistas/Despesas captação médicos</t>
  </si>
  <si>
    <t>04.368.898/0001-06</t>
  </si>
  <si>
    <t>COPEL DISTRIBUICAO S.A.</t>
  </si>
  <si>
    <t>Diretoria Geral</t>
  </si>
  <si>
    <t>78.641.859/0001-77</t>
  </si>
  <si>
    <t>ASSOCIACAO MEDICA DE LONDRINA</t>
  </si>
  <si>
    <t>Taxas, CRM, Outros registros/Custas Judiciais/ Anuidades associações</t>
  </si>
  <si>
    <t>Software PegaPlantão,Omie, Digisac,Microsoft,Videogen,Chatgpt,Aplle</t>
  </si>
  <si>
    <t>03.885.165/0001-86</t>
  </si>
  <si>
    <t>OFFICE 424 COWORKING E SERVICOS LTDA</t>
  </si>
  <si>
    <t>Aluguel e Coworking, vistorias e Reformas Imovel locado</t>
  </si>
  <si>
    <t>Energia Elétrica</t>
  </si>
  <si>
    <t>30.530.065/0001-00</t>
  </si>
  <si>
    <t>CENTRO EMPRESARIAL DUQUE HALL</t>
  </si>
  <si>
    <t>12.499.520/0001-70</t>
  </si>
  <si>
    <t>CLICKSIGN GESTAO DE DOCUMENTOS S/A</t>
  </si>
  <si>
    <t>47.276.724/0001-26</t>
  </si>
  <si>
    <t>BOLSA DE LICITACOES &amp; LEILOES BR.</t>
  </si>
  <si>
    <t>Despesas Gerais com Editais</t>
  </si>
  <si>
    <t>03.968.769/0001-96</t>
  </si>
  <si>
    <t>SUCESSO SERVICOS CONTABEIS LTDA</t>
  </si>
  <si>
    <t>Contabilidade</t>
  </si>
  <si>
    <t>Telefonia Internet</t>
  </si>
  <si>
    <t>49.542.886/0001-94</t>
  </si>
  <si>
    <t>19.791.896/0002-83</t>
  </si>
  <si>
    <t>SUPERGASBRAS ENERGIA LTDA</t>
  </si>
  <si>
    <t>Despesas Diretoria Geral</t>
  </si>
  <si>
    <t>000.181.377-33</t>
  </si>
  <si>
    <t>CLARO</t>
  </si>
  <si>
    <t>122.977.019-42</t>
  </si>
  <si>
    <t>NICOLLE ISABELE ALVES DOS REIS</t>
  </si>
  <si>
    <t>18.716.151/0001-06</t>
  </si>
  <si>
    <t>E.M. SOLUCOES INTEGRADAS DE SISTEMAS LTDA</t>
  </si>
  <si>
    <t>22.579.911/0001-58</t>
  </si>
  <si>
    <t>MIB NEGOCIOS IMOBILIARIOS LTDA</t>
  </si>
  <si>
    <t>37.092.326/0001-04</t>
  </si>
  <si>
    <t>SOCIEDADE PARANAENSE DE MEDICINA LTDA</t>
  </si>
  <si>
    <t>Provisão para Gastos Eventuais</t>
  </si>
  <si>
    <t>18.511.742/0001-47</t>
  </si>
  <si>
    <t>OMIEXPERIENCE LTDA.</t>
  </si>
  <si>
    <t>62.024.904/0001-04</t>
  </si>
  <si>
    <t>62.024.904 MARLEI KAUFMANN</t>
  </si>
  <si>
    <t>087.002.629-19</t>
  </si>
  <si>
    <t>RAMON LIMA PONCE</t>
  </si>
  <si>
    <t>Assessoria Juridica</t>
  </si>
  <si>
    <t>75.771.477/0001-70</t>
  </si>
  <si>
    <t>MUNICIPIO DE LONDRINA</t>
  </si>
  <si>
    <t>ISS</t>
  </si>
  <si>
    <t>13.475.818/0001-02</t>
  </si>
  <si>
    <t>EMBRAOFFICE ESCRITORIOS COMPARTILHADOS E COWORKING LTDA</t>
  </si>
  <si>
    <t>711.376.961-68</t>
  </si>
  <si>
    <t>PEDRO HENRIQUE DE OLIVEIRA DELLAROSA</t>
  </si>
  <si>
    <t>Coordenações Médicas Não Atribuidas Diretamente aos projetos</t>
  </si>
  <si>
    <t>13.726.076/0001-40</t>
  </si>
  <si>
    <t>OXI COMUNICACAO LTDA</t>
  </si>
  <si>
    <t>02.494.988/0004-60</t>
  </si>
  <si>
    <t>SERCOMTEL CELULAR S.A.</t>
  </si>
  <si>
    <t>17.991.294/0001-63</t>
  </si>
  <si>
    <t>GLEBA IMOVEIS LTDA</t>
  </si>
  <si>
    <t>06.164.572/0001-92</t>
  </si>
  <si>
    <t>ASSOCIACAO BRASILEIRA DA ''THE ROTARY FOUNDATION''</t>
  </si>
  <si>
    <t>Publicidade Propaganda e Brindes</t>
  </si>
  <si>
    <t>442.924.088-40</t>
  </si>
  <si>
    <t>LUIZ OTAVIO MAZANATTI MIRANDOLA</t>
  </si>
  <si>
    <t>AD-DIRETORIA DE LICITAÇÕES E ENCARGOS-SPM</t>
  </si>
  <si>
    <t>Assessoria Juridica de Licitações e equipe de apoio</t>
  </si>
  <si>
    <t>52.175.687/0001-08</t>
  </si>
  <si>
    <t>G3 SOLUCOES FINANCEIRAS LTDA</t>
  </si>
  <si>
    <t>12.407.860/0001-23</t>
  </si>
  <si>
    <t>MAGMA COMERCIO DE MATERIAIS DE CONSTRUCAO LTDA</t>
  </si>
  <si>
    <t>Licitações - Diretoria de Licitação</t>
  </si>
  <si>
    <t>29.225.231/0001-85</t>
  </si>
  <si>
    <t>PHDPER PERICIAS MEDICAS E MEDICINA DO TRABALHO LTDA</t>
  </si>
  <si>
    <t>AD-DIRETORIA GERAL   E ENCARGOS-SPM</t>
  </si>
  <si>
    <t>10.014.493/0001-72</t>
  </si>
  <si>
    <t>NETDIGITAL TELECOMUNICACOES LTDA</t>
  </si>
  <si>
    <t>02.908.490/0001-54</t>
  </si>
  <si>
    <t>NEXEL INFORMATICA LTDA</t>
  </si>
  <si>
    <t>100.022.976-98</t>
  </si>
  <si>
    <t>HUGO FERNANDES DAMASCENO</t>
  </si>
  <si>
    <t>20.384.341/0001-15</t>
  </si>
  <si>
    <t>LAGOA AZUL PISCINAS LTDA</t>
  </si>
  <si>
    <t>03.669.166/0001-93</t>
  </si>
  <si>
    <t>CONDOMINIO VILLAGGIO DO ENGENHO</t>
  </si>
  <si>
    <t>57.507.450/0001-92</t>
  </si>
  <si>
    <t>CANGUSSU ADMINISTRACOES DE IMOVEIS LTDA</t>
  </si>
  <si>
    <t>76.484.013/0001-45</t>
  </si>
  <si>
    <t>COMPANHIA DE SANEAMENTO DO PARANA SANEPAR</t>
  </si>
  <si>
    <t>75.222.224/0001-47</t>
  </si>
  <si>
    <t>405.898.398-10</t>
  </si>
  <si>
    <t>DIOGO PEREIRA BORGES</t>
  </si>
  <si>
    <t>Diretoria Médica</t>
  </si>
  <si>
    <t>AD-DIRETORIA MÉDICA E ENCARGOS-SPM</t>
  </si>
  <si>
    <t>58.441.054/0001-72</t>
  </si>
  <si>
    <t>MINISTERIO DA ECONOMIA LTDA</t>
  </si>
  <si>
    <t>DARF PREVIDENCIARIA INSS E ENCARGOS</t>
  </si>
  <si>
    <t>AT-TRIBUTOS-SPM</t>
  </si>
  <si>
    <t>Retencao - PIS/COFINS/CSLL Prestadores de Serviços</t>
  </si>
  <si>
    <t>00.360.305/0001-04</t>
  </si>
  <si>
    <t>CAIXA ECONOMICA FEDERAL</t>
  </si>
  <si>
    <t>FGTS</t>
  </si>
  <si>
    <t>60.746.948/0001-12</t>
  </si>
  <si>
    <t>BANCO BRADESCO S.A.</t>
  </si>
  <si>
    <t>IRRF - Aplicacao Financeira</t>
  </si>
  <si>
    <t>IF-FINANCEIRO -SPM</t>
  </si>
  <si>
    <t>Pagamento de Empréstimos(Principal)</t>
  </si>
  <si>
    <t>Juros sobre Empréstimos Bancários(Bradesco)</t>
  </si>
  <si>
    <t>Conta Capital Unicred</t>
  </si>
  <si>
    <t>IF-INVESTIMENTO FINANCEIRO-SPM</t>
  </si>
  <si>
    <t>40.621.915/0001-39</t>
  </si>
  <si>
    <t>ESTANCIA ALBATROZ SPE LTDA</t>
  </si>
  <si>
    <t>Terrenos</t>
  </si>
  <si>
    <t>IN-INVESTIMENTO IMOBILIARIO-SPM</t>
  </si>
  <si>
    <t>10.953.795/0001-06</t>
  </si>
  <si>
    <t>PAYSAGE CONDOMINIOS - LONDRINA LTDA</t>
  </si>
  <si>
    <t>52.568.821/0001-22</t>
  </si>
  <si>
    <t>BRADESCO ADMINISTRADORA DE CONSORCIOS LTDA.</t>
  </si>
  <si>
    <t>Adiantamento Pagamento Consorcio Bradesco</t>
  </si>
  <si>
    <t>IN-INVESTIMENTOS EM CONSORCIO-SPM</t>
  </si>
  <si>
    <t>Serviços  Mensal Estimados de Contratados Serviços Médicos</t>
  </si>
  <si>
    <t>MG - ARCEBURGO</t>
  </si>
  <si>
    <t>021.511.428-09</t>
  </si>
  <si>
    <t>MARCO VINICIUS DO AMARAL</t>
  </si>
  <si>
    <t>MG-UNAI</t>
  </si>
  <si>
    <t>034.642.491-74</t>
  </si>
  <si>
    <t>ERICA MACHADO DA SILVA</t>
  </si>
  <si>
    <t>Coordenação de Contratos/Coordenação Médica Apropriadas aos Projetos</t>
  </si>
  <si>
    <t>02.012.862/0001-60</t>
  </si>
  <si>
    <t>TAM LINHAS AEREAS S/A.</t>
  </si>
  <si>
    <t>25.838.855/0001-17</t>
  </si>
  <si>
    <t>SERVICO MUNICIPAL DE SANEAMENTO BASICO</t>
  </si>
  <si>
    <t>Água e Esgoto</t>
  </si>
  <si>
    <t>55.658.129/0001-83</t>
  </si>
  <si>
    <t>ANA CAROLINA ALVES CORREA</t>
  </si>
  <si>
    <t>Serviços de Enfermagem/Despesas Gerais</t>
  </si>
  <si>
    <t>22.615.621/0001-12</t>
  </si>
  <si>
    <t>WILSON IMOVEIS LTDA</t>
  </si>
  <si>
    <t>21.157.196/0001-00</t>
  </si>
  <si>
    <t>MARCOS PESSOA</t>
  </si>
  <si>
    <t>085.650.506-45</t>
  </si>
  <si>
    <t>TIAGO TEIXEIRA MALTA</t>
  </si>
  <si>
    <t>Despesas Viagens de UBER</t>
  </si>
  <si>
    <t>144.209.016-24</t>
  </si>
  <si>
    <t>MIRELLY APARECIDA ARAUJO GOMES</t>
  </si>
  <si>
    <t>02.528.449/0001-52</t>
  </si>
  <si>
    <t>SAULO PERES DE CASTRO</t>
  </si>
  <si>
    <t>35.904.039/0001-18</t>
  </si>
  <si>
    <t>UNAFIBER TELECOM LTDA</t>
  </si>
  <si>
    <t>LEOMAR MILITAO DA CUNHA</t>
  </si>
  <si>
    <t>PR - BANDEIRANTES</t>
  </si>
  <si>
    <t>PR - BOCAIUVA DO SUL</t>
  </si>
  <si>
    <t>PR - CALIFORNIA</t>
  </si>
  <si>
    <t>PR - CRUZ MACHADO</t>
  </si>
  <si>
    <t>PR - MARIALVA</t>
  </si>
  <si>
    <t>PR - MARILUZ</t>
  </si>
  <si>
    <t>PR - RANCHO ALEGRE</t>
  </si>
  <si>
    <t>PR - SANTO ANTONIO DO PARAÍSO</t>
  </si>
  <si>
    <t>PR - SÃO JOSÉ DA BOA VISTA</t>
  </si>
  <si>
    <t>PR - SERTANEJA</t>
  </si>
  <si>
    <t>SP - PARAGUAÇU PAULISTA - SANTA CASA</t>
  </si>
  <si>
    <t>SP - SANTO ANTONIO DA ALEGRIA</t>
  </si>
  <si>
    <t>SP-ITAJU</t>
  </si>
  <si>
    <t xml:space="preserve">DESPESAS FIXAS </t>
  </si>
  <si>
    <t>TRIBUTOS</t>
  </si>
  <si>
    <t>DESPESAS VARIAVEIS</t>
  </si>
  <si>
    <t>DESPESAS PESSOAIS DR HUGO</t>
  </si>
  <si>
    <t xml:space="preserve">Observação </t>
  </si>
  <si>
    <t>037.529.209-80</t>
  </si>
  <si>
    <t>THAIS ALESSANDRA ROSA</t>
  </si>
  <si>
    <t>474.769.968-60</t>
  </si>
  <si>
    <t>VINICIUS AUGUSTO RODRIGUES DE MEDEIROS</t>
  </si>
  <si>
    <t>JORGE HADUAN NASCIMENTO DOS SANTOS</t>
  </si>
  <si>
    <t>081.595.379-80</t>
  </si>
  <si>
    <t>Setor Licitações e equipe de apoio</t>
  </si>
  <si>
    <t>EVA THAIS ALMERON</t>
  </si>
  <si>
    <t>30.269.348/0001-40</t>
  </si>
  <si>
    <t>Casa Gabrielly</t>
  </si>
  <si>
    <t>R JOAO WYCLIF, 111 - TR JD SUL SL 2001</t>
  </si>
  <si>
    <t>R JOAO WYCLIF, 111 - TR JD SUL SL 2002</t>
  </si>
  <si>
    <t>AV DUQUE DE CAXIAS, 1726 - SL0705</t>
  </si>
  <si>
    <t>R JOAO WYCLIF, 111 - TR JD SUL SL 2003</t>
  </si>
  <si>
    <t>R JOAO WYCLIF, 111 - TR JD SUL SL 2004</t>
  </si>
  <si>
    <t>R JOAO WYCLIF, 111 - TR JD SUL SL 2005</t>
  </si>
  <si>
    <t>R JOAO WYCLIF, 111 - TR JD SUL SL 2006</t>
  </si>
  <si>
    <t>02.558.157/0001-62</t>
  </si>
  <si>
    <t>Telefonica Brasil S/A (Vivo)</t>
  </si>
  <si>
    <t>Condomínio</t>
  </si>
  <si>
    <t>AD- ADMINISTRATIVO  AHAPS</t>
  </si>
  <si>
    <t>AV DUQUE DE CAXIAS, 1726 - SL0706</t>
  </si>
  <si>
    <t xml:space="preserve">SPM - Medicamentos </t>
  </si>
  <si>
    <t>17.599.041/0001-49</t>
  </si>
  <si>
    <t>VOLATILE INFORMATICA LTDA</t>
  </si>
  <si>
    <t>Margem</t>
  </si>
  <si>
    <t>CONDOMINIO DO CENTRO EMPRESARIAL JARDIM SUL</t>
  </si>
  <si>
    <t xml:space="preserve"> PLANO DE SAUDE GABY</t>
  </si>
  <si>
    <t>PLANO DE SAUDE SPM NICOLLE</t>
  </si>
  <si>
    <t xml:space="preserve"> PLANO DE SAUDE SPM MARLEI KAUFMANN</t>
  </si>
  <si>
    <t>ADM- SPM UNAI/MG- KAROLINY DAIARA MARTINS DE OLIVEIRA</t>
  </si>
  <si>
    <t>ADM- SPM UNAI/MG - GERALDO FARIA CAMPOS JUNIOR</t>
  </si>
  <si>
    <t>ADM- SPM UNAI/MG - IRLENE MARIA DA SILVA CASTRO</t>
  </si>
  <si>
    <t>ADM- SPM UNAI/MG - PÂMELA KARLA SILVA</t>
  </si>
  <si>
    <t xml:space="preserve">ADM - SPM UNIA-  EDINALVA MACHADO DA SILVA </t>
  </si>
  <si>
    <t>AUX. ADM. - SPM UNAI -MARIA MEIRA AMARAL</t>
  </si>
  <si>
    <t>SALÁRIOS ADM</t>
  </si>
  <si>
    <t>RAFAELA APARECIDA JOSLIN MENDES</t>
  </si>
  <si>
    <t>TÉCNICO EM ENFERMAGEM- JAIR DOS SANTOS</t>
  </si>
  <si>
    <t xml:space="preserve">TÉCNICO EM ENFERMAGEM- JOSENILDO MACIEL DA SILVA </t>
  </si>
  <si>
    <t>BRISAS RESIDENCE CLUB ALTO DO ARAXA</t>
  </si>
  <si>
    <t>Aluguel gabrielly</t>
  </si>
  <si>
    <t>condominio Gabrielly</t>
  </si>
  <si>
    <t>INVESTIMENTOS</t>
  </si>
  <si>
    <t xml:space="preserve">PARCELAMENTO PHDPER </t>
  </si>
  <si>
    <t>323.267.269-87</t>
  </si>
  <si>
    <t>ODIR PONTALTI - TERRENO MONTERREY</t>
  </si>
  <si>
    <t>COMISSÕES</t>
  </si>
  <si>
    <t xml:space="preserve">DESPESAS DE PROFISSIONAIS </t>
  </si>
  <si>
    <t xml:space="preserve">SALÁRIOS </t>
  </si>
  <si>
    <t xml:space="preserve">Pagamentos de Valores Variáveis </t>
  </si>
  <si>
    <t>AT-TRIBUTOS- FD</t>
  </si>
  <si>
    <t>CAIXA ECONOMICA FEDERAL - EMPRESA FD</t>
  </si>
  <si>
    <t xml:space="preserve">SIMPLES NACIONAL - EMPRESA FD </t>
  </si>
  <si>
    <t xml:space="preserve">CLARO - Recarga celulares Pré ( Financeiro ) </t>
  </si>
  <si>
    <t xml:space="preserve">VALOR TOTAL GERAL </t>
  </si>
  <si>
    <t>52.384.166/0001-52</t>
  </si>
  <si>
    <t>52.384.166/0001-53</t>
  </si>
  <si>
    <t>19.813.512/0001-03</t>
  </si>
  <si>
    <t xml:space="preserve">PAGAMENTO -AVISTA </t>
  </si>
  <si>
    <t>PR - CISMEPAR - CAMBÉ</t>
  </si>
  <si>
    <t>PR - CISMEPAR - IBIPORÃ</t>
  </si>
  <si>
    <t>PR - CISMEPAR - JATAIZINHO </t>
  </si>
  <si>
    <t>PR - CISMEPAR - LONDRINA</t>
  </si>
  <si>
    <t>PR  -  CORNÉLIO PROCÓPIO </t>
  </si>
  <si>
    <t>PR - GOIOERÊ </t>
  </si>
  <si>
    <t>PR - IBIPORÃ - HOSPITAL CRISTO REI</t>
  </si>
  <si>
    <t>PR - JANDAIA SO SUL</t>
  </si>
  <si>
    <t>PR - JURANDA </t>
  </si>
  <si>
    <t>PR - MANDIRITUBA</t>
  </si>
  <si>
    <t>PR - ROLANDIA</t>
  </si>
  <si>
    <t>PR - UBIRATÃ</t>
  </si>
  <si>
    <t xml:space="preserve">SP - MAUCABAL </t>
  </si>
  <si>
    <t xml:space="preserve">SP - TANABI </t>
  </si>
  <si>
    <t>SP - DOBRADA</t>
  </si>
  <si>
    <t xml:space="preserve">SP - BERTIOGA </t>
  </si>
  <si>
    <t>PR - MAMBORE</t>
  </si>
  <si>
    <t>PR - ASPASIA</t>
  </si>
  <si>
    <t>SP- TRABIJU</t>
  </si>
  <si>
    <t>PR - TAMARANA - (PREFEITURA)</t>
  </si>
  <si>
    <t>SP - SERTAOZINHO</t>
  </si>
  <si>
    <t>SC - PIÇARRAS</t>
  </si>
  <si>
    <t>PR - LUNARDELLI</t>
  </si>
  <si>
    <t>PR - GUARAIÇA</t>
  </si>
  <si>
    <t xml:space="preserve">SP - ITAJU </t>
  </si>
  <si>
    <t>PR -SÃO MATEUS DO SUL</t>
  </si>
  <si>
    <t>PR - BOM SUCESSO</t>
  </si>
  <si>
    <t>PR - LONDRINA CHAMAMENTO</t>
  </si>
  <si>
    <t>PR - IRATI</t>
  </si>
  <si>
    <t>PR - APUCARANA</t>
  </si>
  <si>
    <t>PR - IBAITI - ESF</t>
  </si>
  <si>
    <t>PR - IBAITI - PLANTÃO</t>
  </si>
  <si>
    <t>SP - CACHOEIRA PAULISTA</t>
  </si>
  <si>
    <t>SP - IGUAPE</t>
  </si>
  <si>
    <t>MG - MORRO DO PILAR</t>
  </si>
  <si>
    <t>MG - CONCEIÇÃO DE BARRAS DE MINAS</t>
  </si>
  <si>
    <t>SC - FORQUILHINHA</t>
  </si>
  <si>
    <t>MG - TOLEDO</t>
  </si>
  <si>
    <t>PR - NOVA SANTA BARBARA</t>
  </si>
  <si>
    <t>MG - BOM DESPACHO</t>
  </si>
  <si>
    <t>MG - DOM SILVERIO</t>
  </si>
  <si>
    <t xml:space="preserve">PR - AMAPORÃ </t>
  </si>
  <si>
    <t>MG - SANTA RITA DO SAPUCAI</t>
  </si>
  <si>
    <t xml:space="preserve">margem </t>
  </si>
  <si>
    <t>TOTAL</t>
  </si>
  <si>
    <t xml:space="preserve">MG- UNAI </t>
  </si>
  <si>
    <t xml:space="preserve">MG- UNAI - SANTA MONICA </t>
  </si>
  <si>
    <t>SP-SÃO JOSÉ DOS PINHAS</t>
  </si>
  <si>
    <t xml:space="preserve">RECEITA </t>
  </si>
  <si>
    <t xml:space="preserve">DESPESAS </t>
  </si>
  <si>
    <t>RESULTADO BRUTO</t>
  </si>
  <si>
    <t xml:space="preserve">MARGEM BRUTA </t>
  </si>
  <si>
    <t xml:space="preserve">Faturamento </t>
  </si>
  <si>
    <t xml:space="preserve">Despesas </t>
  </si>
  <si>
    <t xml:space="preserve">Saldo </t>
  </si>
  <si>
    <t>Data</t>
  </si>
  <si>
    <t>Locação de Impressoras, estava lancado 420</t>
  </si>
  <si>
    <t>PLANO DE SAUDE SPM NICOLLY SILVA, estava lancado 331</t>
  </si>
  <si>
    <t>transferecncia FD</t>
  </si>
  <si>
    <t>TAXAS FD</t>
  </si>
  <si>
    <t>VERIFICAR SE EXISTE ALGO PARCELADO CARTOES HUGO</t>
  </si>
  <si>
    <t>ROUPAS</t>
  </si>
  <si>
    <t>MARIA DO CARMO ROMUALDO</t>
  </si>
  <si>
    <t>SARA KELLY DE OLVEIRA</t>
  </si>
  <si>
    <t>CARLA TATIANA OLIVEIRA</t>
  </si>
  <si>
    <t xml:space="preserve">Data </t>
  </si>
  <si>
    <t>receber, mesmo que de forma judicial. Incluindo custos de viagem</t>
  </si>
  <si>
    <t>FIES - HUGO FERNANDES DAMASCENO</t>
  </si>
  <si>
    <t xml:space="preserve">PAYSAGE CONDOMINIOS - LONDRINA LTDA </t>
  </si>
  <si>
    <t>Condominio</t>
  </si>
  <si>
    <t>A PAGAR</t>
  </si>
  <si>
    <t>VALOR PAGO</t>
  </si>
  <si>
    <t>TOTAL A PAGAR</t>
  </si>
  <si>
    <t>RESTANTE A RECEBER</t>
  </si>
  <si>
    <t>SALDO 19.03</t>
  </si>
  <si>
    <t>SALDO 31.03</t>
  </si>
  <si>
    <t>MARIA LUIZA FERRACIOLI MARQUES</t>
  </si>
  <si>
    <t>salários Estágiária</t>
  </si>
  <si>
    <t>MEDSUPPORT - SOS PLANTAO - SUPORTE MEDICO 24H</t>
  </si>
  <si>
    <t>FATOR SEGURADORA S.A.</t>
  </si>
  <si>
    <t>Apolice de Seguro</t>
  </si>
  <si>
    <t>55.658.129 FERNANDA TALITA ALVES DA SILVA</t>
  </si>
  <si>
    <t>COFINS FATURAMENTO</t>
  </si>
  <si>
    <t>PIS FATURAMENTO</t>
  </si>
  <si>
    <t>REI DO T.I. - SOLUCOES EM TECNOLOGIA</t>
  </si>
  <si>
    <t>Equipamentos</t>
  </si>
  <si>
    <t>ADIANTAMENTO DE SALÁRIOS ADM- FD</t>
  </si>
  <si>
    <t>ASSOCIACAO EVANGELICA BENEFICENTE DE LONDRINA- EMPRESA FD</t>
  </si>
  <si>
    <t xml:space="preserve">Darf IRRF - 02/2026-2025- EMPRESA FD </t>
  </si>
  <si>
    <t>OMIEXPERIENCE LTDA.- EMPRESA FD</t>
  </si>
  <si>
    <t xml:space="preserve">SUCESSO CONTABILIDADE - FD </t>
  </si>
  <si>
    <t>AD-ADMINISTRAÇÃO GERAL-FD</t>
  </si>
  <si>
    <t>inicio 26/01/2026</t>
  </si>
  <si>
    <t>* CONFIRMAR O ACORDO DE RESCISÃO</t>
  </si>
  <si>
    <t xml:space="preserve">Á CONFIRMAR </t>
  </si>
  <si>
    <t>AD- ADMINISTRATIVO  SPM</t>
  </si>
  <si>
    <t>AD- ADMINISTRATIVO SPM</t>
  </si>
  <si>
    <t>Contabilidade FD</t>
  </si>
  <si>
    <t>Á CONFIRMAR</t>
  </si>
  <si>
    <t>SALÁRIOS ADM- RESCISÃO</t>
  </si>
  <si>
    <t>SALÁRIOS ADM - RESCISÃO</t>
  </si>
  <si>
    <t xml:space="preserve">À CONFIRMAR </t>
  </si>
  <si>
    <t>À CONFIRMAR</t>
  </si>
  <si>
    <t xml:space="preserve">REEMBOLSOS MENSAIS </t>
  </si>
  <si>
    <t xml:space="preserve">DESPESAS SETOR DE LICITAÇÕES </t>
  </si>
  <si>
    <t>ENCERRADO</t>
  </si>
  <si>
    <t>AGUARDANDO FECHAMENTO</t>
  </si>
  <si>
    <t xml:space="preserve">PR - SALTO DO LONDRA </t>
  </si>
  <si>
    <t>SP- QUATÁ</t>
  </si>
  <si>
    <t xml:space="preserve">SP- PEDRA BELA </t>
  </si>
  <si>
    <t xml:space="preserve">UNIMED DE LONDRINA COOPERATIVA DE TRABALHO MEDICO- DR HUGO </t>
  </si>
  <si>
    <t>BB</t>
  </si>
  <si>
    <t>Itaú</t>
  </si>
  <si>
    <t>Unicred</t>
  </si>
  <si>
    <t>Sisprime ⚠️</t>
  </si>
  <si>
    <t xml:space="preserve">Cartões de Crédito </t>
  </si>
  <si>
    <t>Vencimento</t>
  </si>
  <si>
    <t>10/04/2026</t>
  </si>
  <si>
    <t>06/04/2026</t>
  </si>
  <si>
    <t>13/04/2026</t>
  </si>
  <si>
    <t>24/04/2026</t>
  </si>
  <si>
    <t>VR BENEF. SERV. PROC. AS- EMPRESA FD</t>
  </si>
  <si>
    <t xml:space="preserve">PONTO ELETRONICO </t>
  </si>
  <si>
    <t>FD GESTAO - 2ª PARC (ISS SIMPLES NACIONAL)-2</t>
  </si>
  <si>
    <t>TRIMESTRE IRPJ</t>
  </si>
  <si>
    <t>TRIMESTRE CSLL</t>
  </si>
  <si>
    <t>Orçamento de Contas a Pagar - Empresa SPM                                                                                                                                                                                                                                                                                                                                                                                                                                                                                 ABRIL/2026</t>
  </si>
  <si>
    <t>FGTS- GUIA DE RESCISÕES UNAI/MG</t>
  </si>
  <si>
    <t>ESPECIFICAR QUE VAI PRA CONTA FD</t>
  </si>
  <si>
    <t>QUEM AUTORIZOU A INCLUSAO ?</t>
  </si>
  <si>
    <t>TRANSFERENCIA FD</t>
  </si>
  <si>
    <t xml:space="preserve">NÃO IDENTIFICADO </t>
  </si>
  <si>
    <t>ESPACO SST - 07/04 - R$ 99,03</t>
  </si>
  <si>
    <t>MEDICOS SM24</t>
  </si>
  <si>
    <t xml:space="preserve">CONTROLE DE QUALIDADE </t>
  </si>
  <si>
    <t>ADMINISTRATIVOS SM24 - CLT</t>
  </si>
  <si>
    <t xml:space="preserve">DATA DO RECEBIMENTO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</si>
</sst>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;[Red]&quot;R$&quot;\ #,##0.00"/>
    <numFmt numFmtId="167" formatCode="\R\$\ #,##0.00"/>
  </numFmts>
  <fonts count="32" x14ac:knownFonts="1">
    <font>
      <sz val="11"/>
      <color theme="1"/>
      <name val="Calibri"/>
      <family val="2"/>
      <scheme val="minor"/>
    </font>
    <font>
      <b/>
      <sz val="9"/>
      <color rgb="FF111111"/>
      <name val="Arial"/>
      <family val="2"/>
    </font>
    <font>
      <sz val="9"/>
      <color rgb="FF111111"/>
      <name val="Arial"/>
      <family val="2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111111"/>
      <name val="Arial"/>
      <family val="2"/>
    </font>
    <font>
      <sz val="9"/>
      <color rgb="FF111111"/>
      <name val="Arial"/>
      <family val="2"/>
    </font>
    <font>
      <b/>
      <sz val="9"/>
      <color rgb="FF11111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0"/>
      <color rgb="FFED0000"/>
      <name val="Calibri"/>
      <family val="2"/>
      <scheme val="minor"/>
    </font>
    <font>
      <b/>
      <sz val="10"/>
      <color rgb="FF1A2F5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9E9E9"/>
      </patternFill>
    </fill>
    <fill>
      <patternFill patternType="solid">
        <fgColor rgb="FFF2F2F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3087"/>
      </patternFill>
    </fill>
    <fill>
      <patternFill patternType="solid">
        <fgColor rgb="FFEC7000"/>
      </patternFill>
    </fill>
    <fill>
      <patternFill patternType="solid">
        <fgColor rgb="FF2D6A27"/>
      </patternFill>
    </fill>
    <fill>
      <patternFill patternType="solid">
        <fgColor rgb="FF1A3A6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theme="1"/>
      </left>
      <right style="thick">
        <color theme="1"/>
      </right>
      <top/>
      <bottom/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58">
    <xf numFmtId="0" fontId="0" fillId="0" borderId="0" xfId="0"/>
    <xf numFmtId="164" fontId="0" fillId="0" borderId="0" xfId="0" applyNumberFormat="1"/>
    <xf numFmtId="0" fontId="7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2" xfId="0" applyBorder="1"/>
    <xf numFmtId="164" fontId="2" fillId="2" borderId="2" xfId="0" applyNumberFormat="1" applyFont="1" applyFill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164" fontId="0" fillId="0" borderId="2" xfId="0" applyNumberFormat="1" applyBorder="1"/>
    <xf numFmtId="14" fontId="6" fillId="0" borderId="2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/>
    <xf numFmtId="164" fontId="11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4" fontId="0" fillId="0" borderId="2" xfId="0" applyNumberFormat="1" applyBorder="1"/>
    <xf numFmtId="164" fontId="8" fillId="0" borderId="2" xfId="0" applyNumberFormat="1" applyFont="1" applyBorder="1" applyAlignment="1">
      <alignment vertical="center" wrapText="1"/>
    </xf>
    <xf numFmtId="0" fontId="4" fillId="5" borderId="0" xfId="0" applyFont="1" applyFill="1" applyAlignment="1">
      <alignment horizontal="right"/>
    </xf>
    <xf numFmtId="164" fontId="0" fillId="5" borderId="0" xfId="0" applyNumberFormat="1" applyFill="1"/>
    <xf numFmtId="14" fontId="2" fillId="5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0" fontId="13" fillId="0" borderId="2" xfId="0" applyFont="1" applyBorder="1"/>
    <xf numFmtId="0" fontId="0" fillId="5" borderId="0" xfId="0" applyFill="1"/>
    <xf numFmtId="14" fontId="2" fillId="6" borderId="2" xfId="0" applyNumberFormat="1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right" vertical="center" wrapText="1"/>
    </xf>
    <xf numFmtId="0" fontId="0" fillId="6" borderId="0" xfId="0" applyFill="1"/>
    <xf numFmtId="164" fontId="8" fillId="6" borderId="2" xfId="0" applyNumberFormat="1" applyFont="1" applyFill="1" applyBorder="1" applyAlignment="1">
      <alignment horizontal="right" vertical="center" wrapText="1"/>
    </xf>
    <xf numFmtId="14" fontId="0" fillId="0" borderId="2" xfId="0" applyNumberFormat="1" applyBorder="1"/>
    <xf numFmtId="14" fontId="0" fillId="6" borderId="2" xfId="0" applyNumberFormat="1" applyFill="1" applyBorder="1"/>
    <xf numFmtId="0" fontId="14" fillId="6" borderId="3" xfId="0" applyFont="1" applyFill="1" applyBorder="1"/>
    <xf numFmtId="0" fontId="14" fillId="6" borderId="4" xfId="0" applyFont="1" applyFill="1" applyBorder="1"/>
    <xf numFmtId="0" fontId="0" fillId="6" borderId="3" xfId="0" applyFill="1" applyBorder="1"/>
    <xf numFmtId="0" fontId="15" fillId="6" borderId="3" xfId="0" applyFont="1" applyFill="1" applyBorder="1"/>
    <xf numFmtId="0" fontId="13" fillId="7" borderId="3" xfId="0" applyFont="1" applyFill="1" applyBorder="1"/>
    <xf numFmtId="0" fontId="15" fillId="8" borderId="3" xfId="0" applyFont="1" applyFill="1" applyBorder="1"/>
    <xf numFmtId="0" fontId="15" fillId="9" borderId="3" xfId="0" applyFont="1" applyFill="1" applyBorder="1"/>
    <xf numFmtId="0" fontId="16" fillId="6" borderId="3" xfId="0" applyFont="1" applyFill="1" applyBorder="1"/>
    <xf numFmtId="0" fontId="16" fillId="8" borderId="3" xfId="0" applyFont="1" applyFill="1" applyBorder="1"/>
    <xf numFmtId="0" fontId="16" fillId="5" borderId="3" xfId="0" applyFont="1" applyFill="1" applyBorder="1"/>
    <xf numFmtId="0" fontId="16" fillId="9" borderId="3" xfId="0" applyFont="1" applyFill="1" applyBorder="1"/>
    <xf numFmtId="0" fontId="16" fillId="10" borderId="3" xfId="0" applyFont="1" applyFill="1" applyBorder="1"/>
    <xf numFmtId="44" fontId="0" fillId="6" borderId="5" xfId="0" applyNumberFormat="1" applyFill="1" applyBorder="1" applyAlignment="1">
      <alignment horizontal="center" vertical="center"/>
    </xf>
    <xf numFmtId="44" fontId="0" fillId="5" borderId="5" xfId="0" applyNumberFormat="1" applyFill="1" applyBorder="1" applyAlignment="1">
      <alignment horizontal="center" vertical="center"/>
    </xf>
    <xf numFmtId="44" fontId="0" fillId="7" borderId="5" xfId="0" applyNumberFormat="1" applyFill="1" applyBorder="1" applyAlignment="1">
      <alignment horizontal="center" vertical="center"/>
    </xf>
    <xf numFmtId="44" fontId="0" fillId="8" borderId="5" xfId="0" applyNumberFormat="1" applyFill="1" applyBorder="1" applyAlignment="1">
      <alignment horizontal="center" vertical="center"/>
    </xf>
    <xf numFmtId="44" fontId="0" fillId="9" borderId="5" xfId="0" applyNumberFormat="1" applyFill="1" applyBorder="1" applyAlignment="1">
      <alignment horizontal="center" vertical="center"/>
    </xf>
    <xf numFmtId="44" fontId="0" fillId="11" borderId="5" xfId="0" applyNumberFormat="1" applyFill="1" applyBorder="1" applyAlignment="1">
      <alignment horizontal="center" vertical="center"/>
    </xf>
    <xf numFmtId="44" fontId="10" fillId="6" borderId="6" xfId="0" applyNumberFormat="1" applyFont="1" applyFill="1" applyBorder="1" applyAlignment="1">
      <alignment horizontal="center" vertical="center"/>
    </xf>
    <xf numFmtId="44" fontId="10" fillId="6" borderId="5" xfId="0" applyNumberFormat="1" applyFont="1" applyFill="1" applyBorder="1" applyAlignment="1">
      <alignment horizontal="center" vertical="center"/>
    </xf>
    <xf numFmtId="44" fontId="0" fillId="6" borderId="6" xfId="0" applyNumberForma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/>
    </xf>
    <xf numFmtId="44" fontId="17" fillId="12" borderId="6" xfId="0" applyNumberFormat="1" applyFont="1" applyFill="1" applyBorder="1" applyAlignment="1">
      <alignment horizontal="center" vertical="center"/>
    </xf>
    <xf numFmtId="44" fontId="17" fillId="12" borderId="5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10" xfId="0" applyBorder="1"/>
    <xf numFmtId="0" fontId="17" fillId="12" borderId="7" xfId="0" applyFont="1" applyFill="1" applyBorder="1" applyAlignment="1">
      <alignment horizontal="center"/>
    </xf>
    <xf numFmtId="44" fontId="17" fillId="12" borderId="7" xfId="0" applyNumberFormat="1" applyFont="1" applyFill="1" applyBorder="1" applyAlignment="1">
      <alignment horizontal="center" vertical="center"/>
    </xf>
    <xf numFmtId="10" fontId="17" fillId="1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right" vertical="center" wrapText="1"/>
    </xf>
    <xf numFmtId="164" fontId="8" fillId="0" borderId="0" xfId="0" applyNumberFormat="1" applyFont="1" applyAlignment="1">
      <alignment vertical="center" wrapText="1"/>
    </xf>
    <xf numFmtId="0" fontId="16" fillId="0" borderId="3" xfId="0" applyFont="1" applyBorder="1"/>
    <xf numFmtId="44" fontId="0" fillId="0" borderId="6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44" fontId="17" fillId="12" borderId="7" xfId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14" fontId="22" fillId="4" borderId="2" xfId="0" applyNumberFormat="1" applyFont="1" applyFill="1" applyBorder="1" applyAlignment="1">
      <alignment horizontal="center" vertical="center" wrapText="1"/>
    </xf>
    <xf numFmtId="14" fontId="22" fillId="3" borderId="2" xfId="0" applyNumberFormat="1" applyFont="1" applyFill="1" applyBorder="1" applyAlignment="1">
      <alignment horizontal="center" vertical="center" wrapText="1"/>
    </xf>
    <xf numFmtId="14" fontId="23" fillId="2" borderId="2" xfId="0" applyNumberFormat="1" applyFont="1" applyFill="1" applyBorder="1" applyAlignment="1">
      <alignment horizontal="center" vertical="center" wrapText="1"/>
    </xf>
    <xf numFmtId="14" fontId="23" fillId="0" borderId="2" xfId="0" applyNumberFormat="1" applyFont="1" applyBorder="1" applyAlignment="1">
      <alignment horizontal="center" vertical="center" wrapText="1"/>
    </xf>
    <xf numFmtId="14" fontId="23" fillId="6" borderId="2" xfId="0" applyNumberFormat="1" applyFont="1" applyFill="1" applyBorder="1" applyAlignment="1">
      <alignment horizontal="center" vertical="center" wrapText="1"/>
    </xf>
    <xf numFmtId="14" fontId="23" fillId="5" borderId="2" xfId="0" applyNumberFormat="1" applyFont="1" applyFill="1" applyBorder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 wrapText="1"/>
    </xf>
    <xf numFmtId="0" fontId="0" fillId="13" borderId="0" xfId="0" applyFill="1"/>
    <xf numFmtId="44" fontId="0" fillId="6" borderId="0" xfId="1" applyFont="1" applyFill="1" applyAlignment="1">
      <alignment horizontal="center"/>
    </xf>
    <xf numFmtId="44" fontId="20" fillId="14" borderId="2" xfId="1" applyFont="1" applyFill="1" applyBorder="1" applyAlignment="1">
      <alignment horizontal="center" vertical="center" wrapText="1"/>
    </xf>
    <xf numFmtId="44" fontId="21" fillId="15" borderId="2" xfId="1" applyFont="1" applyFill="1" applyBorder="1" applyAlignment="1">
      <alignment horizontal="center" vertical="center" wrapText="1"/>
    </xf>
    <xf numFmtId="44" fontId="19" fillId="14" borderId="2" xfId="1" applyFont="1" applyFill="1" applyBorder="1" applyAlignment="1">
      <alignment horizontal="center" vertical="center" wrapText="1"/>
    </xf>
    <xf numFmtId="44" fontId="19" fillId="6" borderId="2" xfId="1" applyFont="1" applyFill="1" applyBorder="1" applyAlignment="1">
      <alignment horizontal="center" vertical="center" wrapText="1"/>
    </xf>
    <xf numFmtId="44" fontId="0" fillId="6" borderId="2" xfId="1" applyFont="1" applyFill="1" applyBorder="1" applyAlignment="1">
      <alignment horizontal="center"/>
    </xf>
    <xf numFmtId="44" fontId="0" fillId="6" borderId="5" xfId="1" applyFont="1" applyFill="1" applyBorder="1" applyAlignment="1">
      <alignment horizontal="center" vertical="center"/>
    </xf>
    <xf numFmtId="44" fontId="19" fillId="6" borderId="0" xfId="1" applyFont="1" applyFill="1" applyBorder="1" applyAlignment="1">
      <alignment horizontal="center" vertical="center" wrapText="1"/>
    </xf>
    <xf numFmtId="44" fontId="19" fillId="6" borderId="0" xfId="1" applyFont="1" applyFill="1" applyAlignment="1">
      <alignment horizontal="center" vertical="center" wrapText="1"/>
    </xf>
    <xf numFmtId="164" fontId="19" fillId="6" borderId="2" xfId="1" applyNumberFormat="1" applyFont="1" applyFill="1" applyBorder="1" applyAlignment="1">
      <alignment horizontal="center" vertical="center" wrapText="1"/>
    </xf>
    <xf numFmtId="9" fontId="0" fillId="6" borderId="5" xfId="2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44" fontId="21" fillId="15" borderId="0" xfId="1" applyFont="1" applyFill="1" applyBorder="1" applyAlignment="1">
      <alignment horizontal="center" vertical="center" wrapText="1"/>
    </xf>
    <xf numFmtId="164" fontId="19" fillId="14" borderId="2" xfId="1" applyNumberFormat="1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44" fontId="0" fillId="0" borderId="0" xfId="0" applyNumberFormat="1"/>
    <xf numFmtId="44" fontId="24" fillId="0" borderId="0" xfId="0" applyNumberFormat="1" applyFont="1"/>
    <xf numFmtId="164" fontId="9" fillId="6" borderId="2" xfId="0" applyNumberFormat="1" applyFont="1" applyFill="1" applyBorder="1" applyAlignment="1">
      <alignment horizontal="right" vertical="center" wrapText="1"/>
    </xf>
    <xf numFmtId="44" fontId="19" fillId="6" borderId="2" xfId="1" applyFont="1" applyFill="1" applyBorder="1" applyAlignment="1">
      <alignment vertical="center" wrapText="1"/>
    </xf>
    <xf numFmtId="164" fontId="19" fillId="6" borderId="2" xfId="1" applyNumberFormat="1" applyFont="1" applyFill="1" applyBorder="1" applyAlignment="1">
      <alignment vertical="center" wrapText="1"/>
    </xf>
    <xf numFmtId="164" fontId="0" fillId="6" borderId="5" xfId="2" applyNumberFormat="1" applyFon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left" vertical="top"/>
    </xf>
    <xf numFmtId="164" fontId="9" fillId="6" borderId="2" xfId="0" applyNumberFormat="1" applyFont="1" applyFill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top"/>
    </xf>
    <xf numFmtId="164" fontId="0" fillId="0" borderId="5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5" xfId="0" applyBorder="1"/>
    <xf numFmtId="164" fontId="0" fillId="0" borderId="5" xfId="0" applyNumberFormat="1" applyBorder="1" applyAlignment="1">
      <alignment horizontal="right"/>
    </xf>
    <xf numFmtId="164" fontId="0" fillId="0" borderId="5" xfId="0" applyNumberFormat="1" applyBorder="1"/>
    <xf numFmtId="164" fontId="24" fillId="0" borderId="5" xfId="0" applyNumberFormat="1" applyFont="1" applyBorder="1"/>
    <xf numFmtId="164" fontId="19" fillId="0" borderId="2" xfId="1" applyNumberFormat="1" applyFont="1" applyFill="1" applyBorder="1" applyAlignment="1">
      <alignment horizontal="center" vertical="center" wrapText="1"/>
    </xf>
    <xf numFmtId="164" fontId="19" fillId="5" borderId="2" xfId="1" applyNumberFormat="1" applyFont="1" applyFill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right"/>
    </xf>
    <xf numFmtId="164" fontId="10" fillId="0" borderId="5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44" fontId="19" fillId="0" borderId="2" xfId="1" applyFont="1" applyFill="1" applyBorder="1" applyAlignment="1">
      <alignment horizontal="center" vertical="center" wrapText="1"/>
    </xf>
    <xf numFmtId="0" fontId="15" fillId="0" borderId="0" xfId="0" applyFont="1"/>
    <xf numFmtId="164" fontId="0" fillId="0" borderId="5" xfId="2" applyNumberFormat="1" applyFont="1" applyFill="1" applyBorder="1" applyAlignment="1">
      <alignment horizontal="center" vertical="center"/>
    </xf>
    <xf numFmtId="9" fontId="0" fillId="0" borderId="5" xfId="2" applyFont="1" applyFill="1" applyBorder="1" applyAlignment="1">
      <alignment horizontal="center" vertical="center"/>
    </xf>
    <xf numFmtId="0" fontId="14" fillId="17" borderId="3" xfId="0" applyFont="1" applyFill="1" applyBorder="1"/>
    <xf numFmtId="44" fontId="0" fillId="17" borderId="5" xfId="0" applyNumberFormat="1" applyFill="1" applyBorder="1" applyAlignment="1">
      <alignment horizontal="center" vertical="center"/>
    </xf>
    <xf numFmtId="164" fontId="0" fillId="17" borderId="5" xfId="2" applyNumberFormat="1" applyFont="1" applyFill="1" applyBorder="1" applyAlignment="1">
      <alignment horizontal="center" vertical="center"/>
    </xf>
    <xf numFmtId="14" fontId="23" fillId="17" borderId="2" xfId="0" applyNumberFormat="1" applyFont="1" applyFill="1" applyBorder="1" applyAlignment="1">
      <alignment horizontal="center" vertical="center" wrapText="1"/>
    </xf>
    <xf numFmtId="164" fontId="0" fillId="17" borderId="2" xfId="0" applyNumberFormat="1" applyFill="1" applyBorder="1"/>
    <xf numFmtId="9" fontId="0" fillId="6" borderId="0" xfId="2" applyFont="1" applyFill="1" applyBorder="1" applyAlignment="1">
      <alignment horizontal="center" vertical="center"/>
    </xf>
    <xf numFmtId="4" fontId="25" fillId="0" borderId="0" xfId="0" applyNumberFormat="1" applyFont="1"/>
    <xf numFmtId="4" fontId="26" fillId="0" borderId="0" xfId="0" applyNumberFormat="1" applyFont="1"/>
    <xf numFmtId="164" fontId="27" fillId="0" borderId="0" xfId="0" applyNumberFormat="1" applyFont="1" applyAlignment="1">
      <alignment vertical="center"/>
    </xf>
    <xf numFmtId="0" fontId="28" fillId="16" borderId="11" xfId="0" applyFont="1" applyFill="1" applyBorder="1" applyAlignment="1">
      <alignment horizontal="center" vertical="center" wrapText="1"/>
    </xf>
    <xf numFmtId="0" fontId="29" fillId="18" borderId="11" xfId="0" applyFont="1" applyFill="1" applyBorder="1" applyAlignment="1">
      <alignment horizontal="center"/>
    </xf>
    <xf numFmtId="0" fontId="29" fillId="19" borderId="11" xfId="0" applyFont="1" applyFill="1" applyBorder="1" applyAlignment="1">
      <alignment horizontal="center"/>
    </xf>
    <xf numFmtId="0" fontId="29" fillId="20" borderId="11" xfId="0" applyFont="1" applyFill="1" applyBorder="1" applyAlignment="1">
      <alignment horizontal="center"/>
    </xf>
    <xf numFmtId="0" fontId="29" fillId="21" borderId="11" xfId="0" applyFont="1" applyFill="1" applyBorder="1" applyAlignment="1">
      <alignment horizontal="center"/>
    </xf>
    <xf numFmtId="0" fontId="30" fillId="22" borderId="11" xfId="0" applyFont="1" applyFill="1" applyBorder="1" applyAlignment="1">
      <alignment horizontal="center" vertical="center"/>
    </xf>
    <xf numFmtId="167" fontId="30" fillId="23" borderId="11" xfId="0" applyNumberFormat="1" applyFont="1" applyFill="1" applyBorder="1" applyAlignment="1">
      <alignment horizontal="right" vertical="center"/>
    </xf>
    <xf numFmtId="167" fontId="30" fillId="24" borderId="11" xfId="0" applyNumberFormat="1" applyFont="1" applyFill="1" applyBorder="1" applyAlignment="1">
      <alignment horizontal="right" vertical="center"/>
    </xf>
    <xf numFmtId="164" fontId="24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left" vertical="center" wrapText="1"/>
    </xf>
    <xf numFmtId="164" fontId="25" fillId="0" borderId="5" xfId="0" applyNumberFormat="1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5" borderId="0" xfId="0" applyFill="1"/>
    <xf numFmtId="0" fontId="2" fillId="0" borderId="0" xfId="0" applyFont="1" applyBorder="1" applyAlignment="1">
      <alignment horizontal="left" vertical="center" wrapText="1"/>
    </xf>
    <xf numFmtId="164" fontId="8" fillId="0" borderId="0" xfId="0" applyNumberFormat="1" applyFont="1" applyBorder="1" applyAlignment="1">
      <alignment horizontal="center" vertical="center" wrapText="1"/>
    </xf>
    <xf numFmtId="164" fontId="31" fillId="26" borderId="5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1" fillId="3" borderId="2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"/>
  <sheetViews>
    <sheetView tabSelected="1" topLeftCell="A260" zoomScale="83" zoomScaleNormal="117" workbookViewId="0">
      <selection activeCell="E156" sqref="E156"/>
    </sheetView>
  </sheetViews>
  <sheetFormatPr baseColWidth="10" defaultColWidth="15" defaultRowHeight="15" x14ac:dyDescent="0.2"/>
  <cols>
    <col min="1" max="1" width="26.6640625" customWidth="1"/>
    <col min="2" max="2" width="18.33203125" hidden="1" customWidth="1"/>
    <col min="3" max="3" width="49.83203125" customWidth="1"/>
    <col min="4" max="4" width="41.33203125" customWidth="1"/>
    <col min="5" max="5" width="40.1640625" customWidth="1"/>
    <col min="6" max="6" width="21.6640625" customWidth="1"/>
    <col min="7" max="7" width="24.5" customWidth="1"/>
    <col min="8" max="8" width="17.6640625" style="88" customWidth="1"/>
    <col min="9" max="9" width="24" style="78" customWidth="1"/>
    <col min="10" max="10" width="16.5" customWidth="1"/>
    <col min="11" max="11" width="31" customWidth="1"/>
  </cols>
  <sheetData>
    <row r="1" spans="1:11" ht="16" thickBot="1" x14ac:dyDescent="0.25"/>
    <row r="2" spans="1:11" ht="38.5" customHeight="1" thickTop="1" thickBot="1" x14ac:dyDescent="0.25">
      <c r="A2" s="150" t="s">
        <v>378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11" ht="22.25" customHeight="1" thickTop="1" thickBot="1" x14ac:dyDescent="0.25">
      <c r="A3" s="3"/>
      <c r="B3" s="3"/>
      <c r="C3" s="150" t="s">
        <v>187</v>
      </c>
      <c r="D3" s="151"/>
      <c r="E3" s="151"/>
      <c r="F3" s="151"/>
      <c r="G3" s="3"/>
      <c r="H3" s="89"/>
      <c r="I3" s="80"/>
      <c r="J3" s="3"/>
    </row>
    <row r="4" spans="1:11" ht="41" thickTop="1" thickBo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90" t="s">
        <v>7</v>
      </c>
      <c r="I4" s="81" t="s">
        <v>307</v>
      </c>
      <c r="J4" s="5" t="s">
        <v>8</v>
      </c>
      <c r="K4" s="2" t="s">
        <v>191</v>
      </c>
    </row>
    <row r="5" spans="1:11" ht="17" thickTop="1" thickBot="1" x14ac:dyDescent="0.25">
      <c r="A5" s="6"/>
      <c r="B5" s="6"/>
      <c r="C5" s="6"/>
      <c r="D5" s="6"/>
      <c r="E5" s="6"/>
      <c r="F5" s="7">
        <f>SUM(F6:F61)</f>
        <v>205003.64</v>
      </c>
      <c r="G5" s="7">
        <f>SUM(G6:G61)</f>
        <v>205003.64</v>
      </c>
      <c r="H5" s="101">
        <f>SUM(H6:H61)</f>
        <v>87.5</v>
      </c>
      <c r="I5" s="82"/>
      <c r="J5" s="7">
        <f>SUM(J6:J61)</f>
        <v>204916.14</v>
      </c>
    </row>
    <row r="6" spans="1:11" ht="17" thickTop="1" thickBot="1" x14ac:dyDescent="0.25">
      <c r="A6" s="8"/>
      <c r="B6" s="9" t="s">
        <v>103</v>
      </c>
      <c r="C6" s="9" t="s">
        <v>104</v>
      </c>
      <c r="D6" s="9" t="s">
        <v>28</v>
      </c>
      <c r="E6" s="9" t="s">
        <v>98</v>
      </c>
      <c r="F6" s="10">
        <v>60000</v>
      </c>
      <c r="G6" s="10">
        <v>60000</v>
      </c>
      <c r="H6" s="97">
        <v>0</v>
      </c>
      <c r="I6" s="83"/>
      <c r="J6" s="12">
        <f>G6-H6</f>
        <v>60000</v>
      </c>
    </row>
    <row r="7" spans="1:11" ht="17" thickTop="1" thickBot="1" x14ac:dyDescent="0.25">
      <c r="A7" s="8">
        <v>46086</v>
      </c>
      <c r="B7" s="9" t="s">
        <v>14</v>
      </c>
      <c r="C7" s="9" t="s">
        <v>15</v>
      </c>
      <c r="D7" s="9" t="s">
        <v>16</v>
      </c>
      <c r="E7" s="9" t="s">
        <v>10</v>
      </c>
      <c r="F7" s="10">
        <v>10000</v>
      </c>
      <c r="G7" s="10">
        <v>10000</v>
      </c>
      <c r="H7" s="97">
        <v>0</v>
      </c>
      <c r="I7" s="83"/>
      <c r="J7" s="10">
        <f>F7-H7</f>
        <v>10000</v>
      </c>
    </row>
    <row r="8" spans="1:11" ht="18" customHeight="1" thickTop="1" thickBot="1" x14ac:dyDescent="0.25">
      <c r="A8" s="8">
        <v>46086</v>
      </c>
      <c r="B8" s="11" t="s">
        <v>248</v>
      </c>
      <c r="C8" s="9" t="s">
        <v>68</v>
      </c>
      <c r="D8" s="11" t="s">
        <v>69</v>
      </c>
      <c r="E8" s="9" t="s">
        <v>89</v>
      </c>
      <c r="F8" s="10">
        <v>6500</v>
      </c>
      <c r="G8" s="10">
        <v>6500</v>
      </c>
      <c r="H8" s="97">
        <v>0</v>
      </c>
      <c r="I8" s="83"/>
      <c r="J8" s="10">
        <f t="shared" ref="J8:J55" si="0">F8-H8</f>
        <v>6500</v>
      </c>
    </row>
    <row r="9" spans="1:11" ht="17" thickTop="1" thickBot="1" x14ac:dyDescent="0.25">
      <c r="A9" s="8">
        <v>46086</v>
      </c>
      <c r="B9" s="9" t="s">
        <v>249</v>
      </c>
      <c r="C9" s="9" t="s">
        <v>68</v>
      </c>
      <c r="D9" s="11" t="s">
        <v>198</v>
      </c>
      <c r="E9" s="9" t="s">
        <v>10</v>
      </c>
      <c r="F9" s="10">
        <v>4500</v>
      </c>
      <c r="G9" s="10">
        <v>4500</v>
      </c>
      <c r="H9" s="97">
        <v>0</v>
      </c>
      <c r="I9" s="83"/>
      <c r="J9" s="10">
        <f t="shared" si="0"/>
        <v>4500</v>
      </c>
    </row>
    <row r="10" spans="1:11" ht="17" thickTop="1" thickBot="1" x14ac:dyDescent="0.25">
      <c r="A10" s="8">
        <v>46086</v>
      </c>
      <c r="B10" s="9" t="s">
        <v>20</v>
      </c>
      <c r="C10" s="9" t="s">
        <v>21</v>
      </c>
      <c r="D10" s="9" t="s">
        <v>22</v>
      </c>
      <c r="E10" s="9" t="s">
        <v>10</v>
      </c>
      <c r="F10" s="10">
        <v>4000</v>
      </c>
      <c r="G10" s="10">
        <v>4000</v>
      </c>
      <c r="H10" s="97">
        <v>0</v>
      </c>
      <c r="I10" s="83"/>
      <c r="J10" s="10">
        <f t="shared" si="0"/>
        <v>4000</v>
      </c>
    </row>
    <row r="11" spans="1:11" ht="17" thickTop="1" thickBot="1" x14ac:dyDescent="0.25">
      <c r="A11" s="8"/>
      <c r="B11" s="9"/>
      <c r="C11" s="9" t="s">
        <v>328</v>
      </c>
      <c r="D11" s="9" t="s">
        <v>329</v>
      </c>
      <c r="E11" s="9" t="s">
        <v>10</v>
      </c>
      <c r="F11" s="10">
        <v>1687.5</v>
      </c>
      <c r="G11" s="10">
        <v>1687.5</v>
      </c>
      <c r="H11" s="97">
        <v>87.5</v>
      </c>
      <c r="I11" s="83"/>
      <c r="J11" s="10">
        <f t="shared" si="0"/>
        <v>1600</v>
      </c>
    </row>
    <row r="12" spans="1:11" ht="17" thickTop="1" thickBot="1" x14ac:dyDescent="0.25">
      <c r="A12" s="27"/>
      <c r="B12" s="28" t="s">
        <v>87</v>
      </c>
      <c r="C12" s="28" t="s">
        <v>88</v>
      </c>
      <c r="D12" s="28" t="s">
        <v>69</v>
      </c>
      <c r="E12" s="28" t="s">
        <v>10</v>
      </c>
      <c r="F12" s="29">
        <v>8000</v>
      </c>
      <c r="G12" s="10">
        <v>8000</v>
      </c>
      <c r="H12" s="97"/>
      <c r="I12" s="83"/>
      <c r="J12" s="10">
        <f t="shared" si="0"/>
        <v>8000</v>
      </c>
    </row>
    <row r="13" spans="1:11" ht="17" thickTop="1" thickBot="1" x14ac:dyDescent="0.25">
      <c r="A13" s="8">
        <v>46086</v>
      </c>
      <c r="B13" s="9" t="s">
        <v>54</v>
      </c>
      <c r="C13" s="9" t="s">
        <v>55</v>
      </c>
      <c r="D13" s="9" t="s">
        <v>25</v>
      </c>
      <c r="E13" s="9" t="s">
        <v>10</v>
      </c>
      <c r="F13" s="10">
        <v>2000</v>
      </c>
      <c r="G13" s="10">
        <v>2000</v>
      </c>
      <c r="H13" s="97">
        <v>0</v>
      </c>
      <c r="I13" s="83"/>
      <c r="J13" s="10">
        <f t="shared" si="0"/>
        <v>2000</v>
      </c>
    </row>
    <row r="14" spans="1:11" ht="17" thickTop="1" thickBot="1" x14ac:dyDescent="0.25">
      <c r="A14" s="8">
        <v>46086</v>
      </c>
      <c r="B14" s="9" t="s">
        <v>23</v>
      </c>
      <c r="C14" s="9" t="s">
        <v>24</v>
      </c>
      <c r="D14" s="9" t="s">
        <v>25</v>
      </c>
      <c r="E14" s="9" t="s">
        <v>10</v>
      </c>
      <c r="F14" s="10">
        <v>750</v>
      </c>
      <c r="G14" s="10">
        <v>750</v>
      </c>
      <c r="H14" s="97">
        <v>0</v>
      </c>
      <c r="I14" s="83"/>
      <c r="J14" s="10">
        <f t="shared" si="0"/>
        <v>750</v>
      </c>
    </row>
    <row r="15" spans="1:11" ht="17" thickTop="1" thickBot="1" x14ac:dyDescent="0.25">
      <c r="A15" s="8">
        <v>46086</v>
      </c>
      <c r="B15" s="9" t="s">
        <v>65</v>
      </c>
      <c r="C15" s="9" t="s">
        <v>66</v>
      </c>
      <c r="D15" s="9" t="s">
        <v>25</v>
      </c>
      <c r="E15" s="9" t="s">
        <v>10</v>
      </c>
      <c r="F15" s="10">
        <v>750</v>
      </c>
      <c r="G15" s="10">
        <v>750</v>
      </c>
      <c r="H15" s="97">
        <v>0</v>
      </c>
      <c r="I15" s="83"/>
      <c r="J15" s="10">
        <f t="shared" si="0"/>
        <v>750</v>
      </c>
    </row>
    <row r="16" spans="1:11" ht="17" thickTop="1" thickBot="1" x14ac:dyDescent="0.25">
      <c r="A16" s="8">
        <v>46086</v>
      </c>
      <c r="B16" s="9" t="s">
        <v>197</v>
      </c>
      <c r="C16" s="9" t="s">
        <v>196</v>
      </c>
      <c r="D16" s="9" t="s">
        <v>25</v>
      </c>
      <c r="E16" s="9" t="s">
        <v>10</v>
      </c>
      <c r="F16" s="10">
        <v>2250</v>
      </c>
      <c r="G16" s="10">
        <v>2250</v>
      </c>
      <c r="H16" s="97">
        <v>0</v>
      </c>
      <c r="I16" s="83"/>
      <c r="J16" s="10">
        <f t="shared" si="0"/>
        <v>2250</v>
      </c>
      <c r="K16" t="s">
        <v>344</v>
      </c>
    </row>
    <row r="17" spans="1:11" ht="17" thickTop="1" thickBot="1" x14ac:dyDescent="0.25">
      <c r="A17" s="8">
        <v>46086</v>
      </c>
      <c r="B17" s="9" t="s">
        <v>192</v>
      </c>
      <c r="C17" s="9" t="s">
        <v>193</v>
      </c>
      <c r="D17" s="9" t="s">
        <v>22</v>
      </c>
      <c r="E17" s="9" t="s">
        <v>10</v>
      </c>
      <c r="F17" s="10">
        <v>4802.1000000000004</v>
      </c>
      <c r="G17" s="10">
        <v>4802.1000000000004</v>
      </c>
      <c r="H17" s="97">
        <v>0</v>
      </c>
      <c r="I17" s="83">
        <v>46119</v>
      </c>
      <c r="J17" s="10">
        <f t="shared" si="0"/>
        <v>4802.1000000000004</v>
      </c>
    </row>
    <row r="18" spans="1:11" ht="17" thickTop="1" thickBot="1" x14ac:dyDescent="0.25">
      <c r="A18" s="8">
        <v>46087</v>
      </c>
      <c r="B18" s="9" t="s">
        <v>194</v>
      </c>
      <c r="C18" s="9" t="s">
        <v>195</v>
      </c>
      <c r="D18" s="11" t="s">
        <v>22</v>
      </c>
      <c r="E18" s="9" t="s">
        <v>10</v>
      </c>
      <c r="F18" s="118">
        <v>2519.7199999999998</v>
      </c>
      <c r="G18" s="10">
        <v>2519.7199999999998</v>
      </c>
      <c r="H18" s="97">
        <v>0</v>
      </c>
      <c r="I18" s="83">
        <v>46119</v>
      </c>
      <c r="J18" s="10">
        <f t="shared" si="0"/>
        <v>2519.7199999999998</v>
      </c>
    </row>
    <row r="19" spans="1:11" ht="17" thickTop="1" thickBot="1" x14ac:dyDescent="0.25">
      <c r="A19" s="8"/>
      <c r="B19" s="9" t="s">
        <v>91</v>
      </c>
      <c r="C19" s="9" t="s">
        <v>92</v>
      </c>
      <c r="D19" s="9" t="s">
        <v>90</v>
      </c>
      <c r="E19" s="9" t="s">
        <v>89</v>
      </c>
      <c r="F19" s="10">
        <v>3500</v>
      </c>
      <c r="G19" s="10">
        <v>3500</v>
      </c>
      <c r="H19" s="97">
        <v>0</v>
      </c>
      <c r="I19" s="83"/>
      <c r="J19" s="10">
        <f t="shared" si="0"/>
        <v>3500</v>
      </c>
    </row>
    <row r="20" spans="1:11" ht="17" thickTop="1" thickBot="1" x14ac:dyDescent="0.25">
      <c r="A20" s="8"/>
      <c r="B20" s="9" t="s">
        <v>93</v>
      </c>
      <c r="C20" s="9" t="s">
        <v>94</v>
      </c>
      <c r="D20" s="9" t="s">
        <v>95</v>
      </c>
      <c r="E20" s="9" t="s">
        <v>89</v>
      </c>
      <c r="F20" s="10">
        <v>25000</v>
      </c>
      <c r="G20" s="10">
        <v>25000</v>
      </c>
      <c r="H20" s="97">
        <v>0</v>
      </c>
      <c r="I20" s="83"/>
      <c r="J20" s="10">
        <f t="shared" si="0"/>
        <v>25000</v>
      </c>
    </row>
    <row r="21" spans="1:11" s="31" customFormat="1" ht="17" thickTop="1" thickBot="1" x14ac:dyDescent="0.25">
      <c r="A21" s="27"/>
      <c r="B21" s="28" t="s">
        <v>114</v>
      </c>
      <c r="C21" s="28" t="s">
        <v>115</v>
      </c>
      <c r="D21" s="28" t="s">
        <v>116</v>
      </c>
      <c r="E21" s="28" t="s">
        <v>117</v>
      </c>
      <c r="F21" s="29"/>
      <c r="G21" s="29"/>
      <c r="H21" s="120">
        <v>0</v>
      </c>
      <c r="I21" s="85"/>
      <c r="J21" s="29">
        <f t="shared" si="0"/>
        <v>0</v>
      </c>
      <c r="K21" s="31" t="s">
        <v>345</v>
      </c>
    </row>
    <row r="22" spans="1:11" ht="17" thickTop="1" thickBot="1" x14ac:dyDescent="0.25">
      <c r="A22" s="8">
        <v>46086</v>
      </c>
      <c r="B22" s="9" t="s">
        <v>75</v>
      </c>
      <c r="C22" s="9" t="s">
        <v>76</v>
      </c>
      <c r="D22" s="9" t="s">
        <v>77</v>
      </c>
      <c r="E22" s="9" t="s">
        <v>10</v>
      </c>
      <c r="F22" s="10">
        <v>9400</v>
      </c>
      <c r="G22" s="10">
        <v>9400</v>
      </c>
      <c r="H22" s="97">
        <v>0</v>
      </c>
      <c r="I22" s="83"/>
      <c r="J22" s="10">
        <f t="shared" si="0"/>
        <v>9400</v>
      </c>
    </row>
    <row r="23" spans="1:11" ht="17" thickTop="1" thickBot="1" x14ac:dyDescent="0.25">
      <c r="A23" s="8"/>
      <c r="B23" s="9" t="s">
        <v>82</v>
      </c>
      <c r="C23" s="9" t="s">
        <v>83</v>
      </c>
      <c r="D23" s="9" t="s">
        <v>35</v>
      </c>
      <c r="E23" s="9" t="s">
        <v>10</v>
      </c>
      <c r="F23" s="10">
        <v>24396.85</v>
      </c>
      <c r="G23" s="10">
        <v>24396.85</v>
      </c>
      <c r="H23" s="97">
        <v>0</v>
      </c>
      <c r="I23" s="83"/>
      <c r="J23" s="10">
        <f t="shared" si="0"/>
        <v>24396.85</v>
      </c>
    </row>
    <row r="24" spans="1:11" ht="17" thickTop="1" thickBot="1" x14ac:dyDescent="0.25">
      <c r="A24" s="8">
        <v>46086</v>
      </c>
      <c r="B24" s="9" t="s">
        <v>250</v>
      </c>
      <c r="C24" s="11" t="s">
        <v>218</v>
      </c>
      <c r="D24" s="9" t="s">
        <v>35</v>
      </c>
      <c r="E24" s="9" t="s">
        <v>10</v>
      </c>
      <c r="F24" s="10">
        <v>4030.5</v>
      </c>
      <c r="G24" s="10">
        <v>4030.5</v>
      </c>
      <c r="H24" s="97">
        <v>0</v>
      </c>
      <c r="I24" s="83"/>
      <c r="J24" s="10">
        <f t="shared" si="0"/>
        <v>4030.5</v>
      </c>
    </row>
    <row r="25" spans="1:11" ht="17" thickTop="1" thickBot="1" x14ac:dyDescent="0.25">
      <c r="A25" s="8">
        <v>46086</v>
      </c>
      <c r="B25" s="9" t="s">
        <v>200</v>
      </c>
      <c r="C25" s="9" t="s">
        <v>199</v>
      </c>
      <c r="D25" s="9" t="s">
        <v>9</v>
      </c>
      <c r="E25" s="9" t="s">
        <v>10</v>
      </c>
      <c r="F25" s="10">
        <v>3863.67</v>
      </c>
      <c r="G25" s="10">
        <v>3863.67</v>
      </c>
      <c r="H25" s="97">
        <v>0</v>
      </c>
      <c r="I25" s="83"/>
      <c r="J25" s="10">
        <f t="shared" si="0"/>
        <v>3863.67</v>
      </c>
    </row>
    <row r="26" spans="1:11" ht="17" thickTop="1" thickBot="1" x14ac:dyDescent="0.25">
      <c r="A26" s="8"/>
      <c r="B26" s="9" t="s">
        <v>26</v>
      </c>
      <c r="C26" s="9" t="s">
        <v>27</v>
      </c>
      <c r="D26" s="9" t="s">
        <v>36</v>
      </c>
      <c r="E26" s="9" t="s">
        <v>10</v>
      </c>
      <c r="F26" s="10">
        <v>70.87</v>
      </c>
      <c r="G26" s="10">
        <v>70.87</v>
      </c>
      <c r="H26" s="97">
        <v>0</v>
      </c>
      <c r="I26" s="83"/>
      <c r="J26" s="10">
        <f t="shared" si="0"/>
        <v>70.87</v>
      </c>
      <c r="K26" t="s">
        <v>201</v>
      </c>
    </row>
    <row r="27" spans="1:11" ht="17" thickTop="1" thickBot="1" x14ac:dyDescent="0.25">
      <c r="A27" s="8"/>
      <c r="B27" s="9" t="s">
        <v>26</v>
      </c>
      <c r="C27" s="9" t="s">
        <v>27</v>
      </c>
      <c r="D27" s="9" t="s">
        <v>36</v>
      </c>
      <c r="E27" s="9" t="s">
        <v>10</v>
      </c>
      <c r="F27" s="12">
        <v>27.72</v>
      </c>
      <c r="G27" s="12">
        <v>27.72</v>
      </c>
      <c r="H27" s="97">
        <v>0</v>
      </c>
      <c r="I27" s="83"/>
      <c r="J27" s="10">
        <f t="shared" si="0"/>
        <v>27.72</v>
      </c>
      <c r="K27" t="s">
        <v>204</v>
      </c>
    </row>
    <row r="28" spans="1:11" ht="17" thickTop="1" thickBot="1" x14ac:dyDescent="0.25">
      <c r="A28" s="8"/>
      <c r="B28" s="9" t="s">
        <v>26</v>
      </c>
      <c r="C28" s="9" t="s">
        <v>27</v>
      </c>
      <c r="D28" s="9" t="s">
        <v>36</v>
      </c>
      <c r="E28" s="9" t="s">
        <v>10</v>
      </c>
      <c r="F28" s="10">
        <v>88.53</v>
      </c>
      <c r="G28" s="10">
        <v>88.53</v>
      </c>
      <c r="H28" s="97">
        <v>0</v>
      </c>
      <c r="I28" s="83"/>
      <c r="J28" s="10">
        <f t="shared" si="0"/>
        <v>88.53</v>
      </c>
      <c r="K28" t="s">
        <v>202</v>
      </c>
    </row>
    <row r="29" spans="1:11" ht="17" thickTop="1" thickBot="1" x14ac:dyDescent="0.25">
      <c r="A29" s="8"/>
      <c r="B29" s="9" t="s">
        <v>26</v>
      </c>
      <c r="C29" s="9" t="s">
        <v>27</v>
      </c>
      <c r="D29" s="9" t="s">
        <v>36</v>
      </c>
      <c r="E29" s="9" t="s">
        <v>10</v>
      </c>
      <c r="F29" s="10">
        <v>88.53</v>
      </c>
      <c r="G29" s="10">
        <v>88.53</v>
      </c>
      <c r="H29" s="97">
        <v>0</v>
      </c>
      <c r="I29" s="83"/>
      <c r="J29" s="10">
        <f t="shared" si="0"/>
        <v>88.53</v>
      </c>
      <c r="K29" t="s">
        <v>203</v>
      </c>
    </row>
    <row r="30" spans="1:11" ht="17" thickTop="1" thickBot="1" x14ac:dyDescent="0.25">
      <c r="A30" s="8"/>
      <c r="B30" s="9" t="s">
        <v>26</v>
      </c>
      <c r="C30" s="9" t="s">
        <v>27</v>
      </c>
      <c r="D30" s="9" t="s">
        <v>36</v>
      </c>
      <c r="E30" s="9" t="s">
        <v>10</v>
      </c>
      <c r="F30" s="10">
        <v>776.74</v>
      </c>
      <c r="G30" s="10">
        <v>776.74</v>
      </c>
      <c r="H30" s="97">
        <v>0</v>
      </c>
      <c r="I30" s="83" t="s">
        <v>346</v>
      </c>
      <c r="J30" s="10">
        <f t="shared" si="0"/>
        <v>776.74</v>
      </c>
      <c r="K30" t="s">
        <v>205</v>
      </c>
    </row>
    <row r="31" spans="1:11" ht="17" thickTop="1" thickBot="1" x14ac:dyDescent="0.25">
      <c r="A31" s="8"/>
      <c r="B31" s="9" t="s">
        <v>26</v>
      </c>
      <c r="C31" s="9" t="s">
        <v>27</v>
      </c>
      <c r="D31" s="9" t="s">
        <v>36</v>
      </c>
      <c r="E31" s="9" t="s">
        <v>10</v>
      </c>
      <c r="F31" s="10">
        <v>720.16</v>
      </c>
      <c r="G31" s="10">
        <v>720.16</v>
      </c>
      <c r="H31" s="97">
        <v>0</v>
      </c>
      <c r="I31" s="83"/>
      <c r="J31" s="10">
        <f t="shared" si="0"/>
        <v>720.16</v>
      </c>
      <c r="K31" t="s">
        <v>206</v>
      </c>
    </row>
    <row r="32" spans="1:11" ht="17" thickTop="1" thickBot="1" x14ac:dyDescent="0.25">
      <c r="A32" s="8"/>
      <c r="B32" s="9" t="s">
        <v>26</v>
      </c>
      <c r="C32" s="9" t="s">
        <v>27</v>
      </c>
      <c r="D32" s="9" t="s">
        <v>36</v>
      </c>
      <c r="E32" s="9" t="s">
        <v>10</v>
      </c>
      <c r="F32" s="10">
        <v>774.64</v>
      </c>
      <c r="G32" s="10">
        <v>774.64</v>
      </c>
      <c r="H32" s="97">
        <v>0</v>
      </c>
      <c r="J32" s="10">
        <f t="shared" si="0"/>
        <v>774.64</v>
      </c>
      <c r="K32" t="s">
        <v>207</v>
      </c>
    </row>
    <row r="33" spans="1:11" ht="17" thickTop="1" thickBot="1" x14ac:dyDescent="0.25">
      <c r="A33" s="8"/>
      <c r="B33" s="9" t="s">
        <v>26</v>
      </c>
      <c r="C33" s="9" t="s">
        <v>27</v>
      </c>
      <c r="D33" s="9" t="s">
        <v>36</v>
      </c>
      <c r="E33" s="9" t="s">
        <v>10</v>
      </c>
      <c r="F33" s="10">
        <v>91.02</v>
      </c>
      <c r="G33" s="10">
        <v>91.02</v>
      </c>
      <c r="H33" s="97">
        <v>0</v>
      </c>
      <c r="I33" s="83" t="s">
        <v>346</v>
      </c>
      <c r="J33" s="10">
        <f t="shared" si="0"/>
        <v>91.02</v>
      </c>
      <c r="K33" t="s">
        <v>208</v>
      </c>
    </row>
    <row r="34" spans="1:11" ht="17" thickTop="1" thickBot="1" x14ac:dyDescent="0.25">
      <c r="A34" s="8"/>
      <c r="B34" s="11" t="s">
        <v>52</v>
      </c>
      <c r="C34" s="9" t="s">
        <v>53</v>
      </c>
      <c r="D34" s="9" t="s">
        <v>47</v>
      </c>
      <c r="E34" s="9" t="s">
        <v>10</v>
      </c>
      <c r="F34" s="10">
        <v>244.18</v>
      </c>
      <c r="G34" s="10">
        <v>244.18</v>
      </c>
      <c r="H34" s="97">
        <v>0</v>
      </c>
      <c r="I34" s="83"/>
      <c r="J34" s="10">
        <f t="shared" si="0"/>
        <v>244.18</v>
      </c>
    </row>
    <row r="35" spans="1:11" ht="17" thickTop="1" thickBot="1" x14ac:dyDescent="0.25">
      <c r="A35" s="8"/>
      <c r="B35" s="9" t="s">
        <v>80</v>
      </c>
      <c r="C35" s="9" t="s">
        <v>81</v>
      </c>
      <c r="D35" s="9" t="s">
        <v>47</v>
      </c>
      <c r="E35" s="9" t="s">
        <v>10</v>
      </c>
      <c r="F35" s="10">
        <v>123.83</v>
      </c>
      <c r="G35" s="10">
        <v>123.83</v>
      </c>
      <c r="H35" s="97">
        <v>0</v>
      </c>
      <c r="I35" s="83"/>
      <c r="J35" s="10">
        <f t="shared" si="0"/>
        <v>123.83</v>
      </c>
    </row>
    <row r="36" spans="1:11" ht="17" thickTop="1" thickBot="1" x14ac:dyDescent="0.25">
      <c r="A36" s="8"/>
      <c r="B36" s="30" t="s">
        <v>209</v>
      </c>
      <c r="C36" s="9" t="s">
        <v>210</v>
      </c>
      <c r="D36" s="9" t="s">
        <v>47</v>
      </c>
      <c r="E36" s="9" t="s">
        <v>10</v>
      </c>
      <c r="F36" s="10">
        <v>199.9</v>
      </c>
      <c r="G36" s="10">
        <v>199.9</v>
      </c>
      <c r="H36" s="97"/>
      <c r="I36" s="83"/>
      <c r="J36" s="10">
        <f t="shared" si="0"/>
        <v>199.9</v>
      </c>
    </row>
    <row r="37" spans="1:11" ht="17" thickTop="1" thickBot="1" x14ac:dyDescent="0.25">
      <c r="A37" s="8">
        <v>46081</v>
      </c>
      <c r="B37" s="9" t="s">
        <v>52</v>
      </c>
      <c r="C37" s="9" t="s">
        <v>246</v>
      </c>
      <c r="D37" s="9" t="s">
        <v>47</v>
      </c>
      <c r="E37" s="9" t="s">
        <v>10</v>
      </c>
      <c r="F37" s="10">
        <v>135</v>
      </c>
      <c r="G37" s="10">
        <v>135</v>
      </c>
      <c r="H37" s="97"/>
      <c r="I37" s="83"/>
      <c r="J37" s="10">
        <f t="shared" si="0"/>
        <v>135</v>
      </c>
    </row>
    <row r="38" spans="1:11" ht="26" customHeight="1" thickTop="1" thickBot="1" x14ac:dyDescent="0.25">
      <c r="A38" s="8"/>
      <c r="B38" s="11" t="s">
        <v>73</v>
      </c>
      <c r="C38" s="9" t="s">
        <v>74</v>
      </c>
      <c r="D38" s="9" t="s">
        <v>35</v>
      </c>
      <c r="E38" s="9" t="s">
        <v>10</v>
      </c>
      <c r="F38" s="10">
        <v>131.85</v>
      </c>
      <c r="G38" s="10">
        <v>131.85</v>
      </c>
      <c r="H38" s="97">
        <v>0</v>
      </c>
      <c r="I38" s="83"/>
      <c r="J38" s="10">
        <f t="shared" si="0"/>
        <v>131.85</v>
      </c>
    </row>
    <row r="39" spans="1:11" ht="17" thickTop="1" thickBot="1" x14ac:dyDescent="0.25">
      <c r="A39" s="8"/>
      <c r="B39" s="11" t="s">
        <v>33</v>
      </c>
      <c r="C39" s="9" t="s">
        <v>34</v>
      </c>
      <c r="D39" s="9" t="s">
        <v>35</v>
      </c>
      <c r="E39" s="9" t="s">
        <v>10</v>
      </c>
      <c r="F39" s="10">
        <v>130</v>
      </c>
      <c r="G39" s="10">
        <v>130</v>
      </c>
      <c r="H39" s="97">
        <v>0</v>
      </c>
      <c r="I39" s="83"/>
      <c r="J39" s="10">
        <f t="shared" si="0"/>
        <v>130</v>
      </c>
    </row>
    <row r="40" spans="1:11" ht="17" thickTop="1" thickBot="1" x14ac:dyDescent="0.25">
      <c r="A40" s="13"/>
      <c r="B40" s="11" t="s">
        <v>37</v>
      </c>
      <c r="C40" s="11" t="s">
        <v>38</v>
      </c>
      <c r="D40" s="11" t="s">
        <v>211</v>
      </c>
      <c r="E40" s="9" t="s">
        <v>347</v>
      </c>
      <c r="F40" s="14">
        <v>580.46</v>
      </c>
      <c r="G40" s="14">
        <v>580.46</v>
      </c>
      <c r="H40" s="119"/>
      <c r="I40" s="83"/>
      <c r="J40" s="10">
        <f t="shared" si="0"/>
        <v>580.46</v>
      </c>
      <c r="K40" t="s">
        <v>204</v>
      </c>
    </row>
    <row r="41" spans="1:11" ht="17" thickTop="1" thickBot="1" x14ac:dyDescent="0.25">
      <c r="A41" s="13"/>
      <c r="B41" s="11" t="s">
        <v>37</v>
      </c>
      <c r="C41" s="11" t="s">
        <v>38</v>
      </c>
      <c r="D41" s="11" t="s">
        <v>211</v>
      </c>
      <c r="E41" s="9" t="s">
        <v>348</v>
      </c>
      <c r="F41" s="14">
        <v>581.82000000000005</v>
      </c>
      <c r="G41" s="14">
        <v>581.82000000000005</v>
      </c>
      <c r="H41" s="119"/>
      <c r="I41" s="83"/>
      <c r="J41" s="10">
        <f t="shared" si="0"/>
        <v>581.82000000000005</v>
      </c>
      <c r="K41" t="s">
        <v>213</v>
      </c>
    </row>
    <row r="42" spans="1:11" ht="24" customHeight="1" thickTop="1" thickBot="1" x14ac:dyDescent="0.25">
      <c r="A42" s="8"/>
      <c r="B42" s="11" t="s">
        <v>39</v>
      </c>
      <c r="C42" s="9" t="s">
        <v>40</v>
      </c>
      <c r="D42" s="9" t="s">
        <v>32</v>
      </c>
      <c r="E42" s="9" t="s">
        <v>10</v>
      </c>
      <c r="F42" s="14">
        <v>1050</v>
      </c>
      <c r="G42" s="14">
        <v>1050</v>
      </c>
      <c r="H42" s="97">
        <v>0</v>
      </c>
      <c r="I42" s="83"/>
      <c r="J42" s="10">
        <f t="shared" si="0"/>
        <v>1050</v>
      </c>
    </row>
    <row r="43" spans="1:11" ht="26" customHeight="1" thickTop="1" thickBot="1" x14ac:dyDescent="0.25">
      <c r="A43" s="8"/>
      <c r="B43" s="11" t="s">
        <v>63</v>
      </c>
      <c r="C43" s="9" t="s">
        <v>64</v>
      </c>
      <c r="D43" s="9" t="s">
        <v>32</v>
      </c>
      <c r="E43" s="9" t="s">
        <v>10</v>
      </c>
      <c r="F43" s="10">
        <v>785.9</v>
      </c>
      <c r="G43" s="10">
        <v>785.9</v>
      </c>
      <c r="H43" s="97">
        <v>0</v>
      </c>
      <c r="I43" s="83"/>
      <c r="J43" s="10">
        <f t="shared" si="0"/>
        <v>785.9</v>
      </c>
    </row>
    <row r="44" spans="1:11" ht="17" thickTop="1" thickBot="1" x14ac:dyDescent="0.25">
      <c r="A44" s="8"/>
      <c r="B44" s="11" t="s">
        <v>78</v>
      </c>
      <c r="C44" s="9" t="s">
        <v>79</v>
      </c>
      <c r="D44" s="9" t="s">
        <v>32</v>
      </c>
      <c r="E44" s="9" t="s">
        <v>10</v>
      </c>
      <c r="F44" s="10">
        <v>136.93</v>
      </c>
      <c r="G44" s="10">
        <v>136.93</v>
      </c>
      <c r="H44" s="97">
        <v>0</v>
      </c>
      <c r="I44" s="83"/>
      <c r="J44" s="10">
        <f t="shared" si="0"/>
        <v>136.93</v>
      </c>
    </row>
    <row r="45" spans="1:11" ht="17" thickTop="1" thickBot="1" x14ac:dyDescent="0.25">
      <c r="A45" s="13">
        <v>46086</v>
      </c>
      <c r="B45" s="11" t="s">
        <v>215</v>
      </c>
      <c r="C45" s="11" t="s">
        <v>216</v>
      </c>
      <c r="D45" s="9" t="s">
        <v>32</v>
      </c>
      <c r="E45" s="11" t="s">
        <v>212</v>
      </c>
      <c r="F45" s="37">
        <v>9500</v>
      </c>
      <c r="G45" s="14">
        <v>9500</v>
      </c>
      <c r="H45" s="97">
        <v>0</v>
      </c>
      <c r="I45" s="83"/>
      <c r="J45" s="10">
        <f t="shared" si="0"/>
        <v>9500</v>
      </c>
    </row>
    <row r="46" spans="1:11" s="36" customFormat="1" ht="17" thickTop="1" thickBot="1" x14ac:dyDescent="0.25">
      <c r="A46" s="32">
        <v>46083</v>
      </c>
      <c r="B46" s="33" t="s">
        <v>56</v>
      </c>
      <c r="C46" s="34" t="s">
        <v>57</v>
      </c>
      <c r="D46" s="34" t="s">
        <v>32</v>
      </c>
      <c r="E46" s="34" t="s">
        <v>10</v>
      </c>
      <c r="F46" s="35">
        <v>433</v>
      </c>
      <c r="G46" s="35">
        <v>433</v>
      </c>
      <c r="H46" s="111">
        <v>0</v>
      </c>
      <c r="I46" s="84"/>
      <c r="J46" s="10">
        <f t="shared" si="0"/>
        <v>433</v>
      </c>
    </row>
    <row r="47" spans="1:11" s="36" customFormat="1" ht="17" thickTop="1" thickBot="1" x14ac:dyDescent="0.25">
      <c r="A47" s="32">
        <v>46083</v>
      </c>
      <c r="B47" s="34" t="s">
        <v>56</v>
      </c>
      <c r="C47" s="34" t="s">
        <v>57</v>
      </c>
      <c r="D47" s="34" t="s">
        <v>32</v>
      </c>
      <c r="E47" s="34" t="s">
        <v>10</v>
      </c>
      <c r="F47" s="35">
        <v>1023</v>
      </c>
      <c r="G47" s="35">
        <v>1023</v>
      </c>
      <c r="H47" s="111">
        <v>0</v>
      </c>
      <c r="I47" s="84"/>
      <c r="J47" s="10">
        <f t="shared" si="0"/>
        <v>1023</v>
      </c>
    </row>
    <row r="48" spans="1:11" s="36" customFormat="1" ht="17" thickTop="1" thickBot="1" x14ac:dyDescent="0.25">
      <c r="A48" s="32">
        <v>46083</v>
      </c>
      <c r="B48" s="34" t="s">
        <v>56</v>
      </c>
      <c r="C48" s="34" t="s">
        <v>57</v>
      </c>
      <c r="D48" s="34" t="s">
        <v>32</v>
      </c>
      <c r="E48" s="34" t="s">
        <v>10</v>
      </c>
      <c r="F48" s="35">
        <v>1057</v>
      </c>
      <c r="G48" s="35">
        <v>1057</v>
      </c>
      <c r="H48" s="111">
        <v>0</v>
      </c>
      <c r="I48" s="84"/>
      <c r="J48" s="10">
        <f t="shared" si="0"/>
        <v>1057</v>
      </c>
    </row>
    <row r="49" spans="1:11" s="36" customFormat="1" ht="17" thickTop="1" thickBot="1" x14ac:dyDescent="0.25">
      <c r="A49" s="32">
        <v>46083</v>
      </c>
      <c r="B49" s="34" t="s">
        <v>56</v>
      </c>
      <c r="C49" s="34" t="s">
        <v>57</v>
      </c>
      <c r="D49" s="34" t="s">
        <v>32</v>
      </c>
      <c r="E49" s="34" t="s">
        <v>148</v>
      </c>
      <c r="F49" s="37">
        <v>276.3</v>
      </c>
      <c r="G49" s="37">
        <v>276.3</v>
      </c>
      <c r="H49" s="111">
        <v>0</v>
      </c>
      <c r="I49" s="84"/>
      <c r="J49" s="10">
        <f t="shared" si="0"/>
        <v>276.3</v>
      </c>
    </row>
    <row r="50" spans="1:11" ht="17" thickTop="1" thickBot="1" x14ac:dyDescent="0.25">
      <c r="A50" s="8"/>
      <c r="B50" s="11" t="s">
        <v>44</v>
      </c>
      <c r="C50" s="9" t="s">
        <v>45</v>
      </c>
      <c r="D50" s="9" t="s">
        <v>46</v>
      </c>
      <c r="E50" s="9" t="s">
        <v>10</v>
      </c>
      <c r="F50" s="10">
        <v>1680</v>
      </c>
      <c r="G50" s="10">
        <v>1680</v>
      </c>
      <c r="H50" s="97">
        <v>0</v>
      </c>
      <c r="I50" s="83"/>
      <c r="J50" s="10">
        <f t="shared" si="0"/>
        <v>1680</v>
      </c>
    </row>
    <row r="51" spans="1:11" ht="17" thickTop="1" thickBot="1" x14ac:dyDescent="0.25">
      <c r="A51" s="8"/>
      <c r="B51" s="9" t="s">
        <v>44</v>
      </c>
      <c r="C51" s="9" t="s">
        <v>45</v>
      </c>
      <c r="D51" s="9" t="s">
        <v>46</v>
      </c>
      <c r="E51" s="9" t="s">
        <v>10</v>
      </c>
      <c r="F51" s="10">
        <v>680</v>
      </c>
      <c r="G51" s="10">
        <v>680</v>
      </c>
      <c r="H51" s="97">
        <v>0</v>
      </c>
      <c r="I51" s="83"/>
      <c r="J51" s="10">
        <f t="shared" si="0"/>
        <v>680</v>
      </c>
      <c r="K51" t="s">
        <v>214</v>
      </c>
    </row>
    <row r="52" spans="1:11" ht="17" thickTop="1" thickBot="1" x14ac:dyDescent="0.25">
      <c r="A52" s="8"/>
      <c r="B52" s="11" t="s">
        <v>101</v>
      </c>
      <c r="C52" s="9" t="s">
        <v>102</v>
      </c>
      <c r="D52" s="9" t="s">
        <v>51</v>
      </c>
      <c r="E52" s="9" t="s">
        <v>98</v>
      </c>
      <c r="F52" s="10">
        <v>450</v>
      </c>
      <c r="G52" s="10">
        <v>450</v>
      </c>
      <c r="H52" s="97">
        <v>0</v>
      </c>
      <c r="I52" s="83"/>
      <c r="J52" s="10">
        <f t="shared" si="0"/>
        <v>450</v>
      </c>
      <c r="K52" s="87" t="s">
        <v>308</v>
      </c>
    </row>
    <row r="53" spans="1:11" ht="15" customHeight="1" thickTop="1" thickBot="1" x14ac:dyDescent="0.25">
      <c r="A53" s="8"/>
      <c r="B53" s="11" t="s">
        <v>11</v>
      </c>
      <c r="C53" s="9" t="s">
        <v>12</v>
      </c>
      <c r="D53" s="9" t="s">
        <v>13</v>
      </c>
      <c r="E53" s="9" t="s">
        <v>10</v>
      </c>
      <c r="F53" s="24">
        <v>191.13</v>
      </c>
      <c r="G53" s="24">
        <v>191.13</v>
      </c>
      <c r="H53" s="97">
        <v>0</v>
      </c>
      <c r="I53" s="83"/>
      <c r="J53" s="10">
        <f t="shared" si="0"/>
        <v>191.13</v>
      </c>
      <c r="K53" t="s">
        <v>219</v>
      </c>
    </row>
    <row r="54" spans="1:11" ht="17" thickTop="1" thickBot="1" x14ac:dyDescent="0.25">
      <c r="A54" s="8"/>
      <c r="B54" s="9" t="s">
        <v>11</v>
      </c>
      <c r="C54" s="9" t="s">
        <v>12</v>
      </c>
      <c r="D54" s="9" t="s">
        <v>13</v>
      </c>
      <c r="E54" s="9" t="s">
        <v>10</v>
      </c>
      <c r="F54" s="24">
        <v>168.46</v>
      </c>
      <c r="G54" s="24">
        <v>168.46</v>
      </c>
      <c r="H54" s="97">
        <v>0</v>
      </c>
      <c r="I54" s="83"/>
      <c r="J54" s="10">
        <f t="shared" si="0"/>
        <v>168.46</v>
      </c>
      <c r="K54" t="s">
        <v>220</v>
      </c>
    </row>
    <row r="55" spans="1:11" ht="17" thickTop="1" thickBot="1" x14ac:dyDescent="0.25">
      <c r="A55" s="8"/>
      <c r="B55" s="9" t="s">
        <v>11</v>
      </c>
      <c r="C55" s="9" t="s">
        <v>12</v>
      </c>
      <c r="D55" s="9" t="s">
        <v>13</v>
      </c>
      <c r="E55" s="9" t="s">
        <v>10</v>
      </c>
      <c r="F55" s="24">
        <v>278.01</v>
      </c>
      <c r="G55" s="24">
        <v>278.01</v>
      </c>
      <c r="H55" s="97">
        <v>0</v>
      </c>
      <c r="I55" s="83"/>
      <c r="J55" s="10">
        <f t="shared" si="0"/>
        <v>278.01</v>
      </c>
      <c r="K55" t="s">
        <v>221</v>
      </c>
    </row>
    <row r="56" spans="1:11" ht="17" thickTop="1" thickBot="1" x14ac:dyDescent="0.25">
      <c r="A56" s="8"/>
      <c r="B56" s="9" t="s">
        <v>11</v>
      </c>
      <c r="C56" s="9" t="s">
        <v>12</v>
      </c>
      <c r="D56" s="9" t="s">
        <v>13</v>
      </c>
      <c r="E56" s="9" t="s">
        <v>10</v>
      </c>
      <c r="F56" s="24">
        <v>205.23</v>
      </c>
      <c r="G56" s="24">
        <v>205.23</v>
      </c>
      <c r="H56" s="97">
        <v>0</v>
      </c>
      <c r="I56" s="83"/>
      <c r="J56" s="10">
        <f>F56-H56</f>
        <v>205.23</v>
      </c>
      <c r="K56" s="87" t="s">
        <v>309</v>
      </c>
    </row>
    <row r="57" spans="1:11" ht="25" customHeight="1" thickTop="1" thickBot="1" x14ac:dyDescent="0.25">
      <c r="A57" s="8"/>
      <c r="B57" s="9" t="s">
        <v>11</v>
      </c>
      <c r="C57" s="9" t="s">
        <v>339</v>
      </c>
      <c r="D57" s="9" t="s">
        <v>13</v>
      </c>
      <c r="E57" s="9" t="s">
        <v>343</v>
      </c>
      <c r="F57" s="24">
        <v>509.39</v>
      </c>
      <c r="G57" s="24">
        <v>509.39</v>
      </c>
      <c r="H57" s="97">
        <v>0</v>
      </c>
      <c r="I57" s="83"/>
      <c r="J57" s="10">
        <f>F57-H57</f>
        <v>509.39</v>
      </c>
    </row>
    <row r="58" spans="1:11" ht="26" customHeight="1" thickTop="1" thickBot="1" x14ac:dyDescent="0.25">
      <c r="A58" s="6"/>
      <c r="B58" s="11" t="s">
        <v>113</v>
      </c>
      <c r="C58" s="9" t="s">
        <v>362</v>
      </c>
      <c r="D58" s="9" t="s">
        <v>13</v>
      </c>
      <c r="E58" s="9" t="s">
        <v>98</v>
      </c>
      <c r="F58" s="137">
        <v>2397.0100000000002</v>
      </c>
      <c r="G58" s="137">
        <v>2397.0100000000002</v>
      </c>
      <c r="H58" s="92">
        <v>0</v>
      </c>
      <c r="I58" s="83"/>
      <c r="J58" s="10">
        <f>F58-H58</f>
        <v>2397.0100000000002</v>
      </c>
    </row>
    <row r="59" spans="1:11" ht="32" customHeight="1" thickTop="1" thickBot="1" x14ac:dyDescent="0.25">
      <c r="A59" s="8"/>
      <c r="B59" s="11" t="s">
        <v>63</v>
      </c>
      <c r="C59" s="9" t="s">
        <v>341</v>
      </c>
      <c r="D59" s="9" t="s">
        <v>32</v>
      </c>
      <c r="E59" s="9" t="s">
        <v>343</v>
      </c>
      <c r="F59" s="10">
        <v>449.4</v>
      </c>
      <c r="G59" s="10">
        <v>449.4</v>
      </c>
      <c r="H59" s="97">
        <v>0</v>
      </c>
      <c r="I59" s="83"/>
      <c r="J59" s="10">
        <f t="shared" ref="J59" si="1">F59-H59</f>
        <v>449.4</v>
      </c>
    </row>
    <row r="60" spans="1:11" ht="17" thickTop="1" thickBot="1" x14ac:dyDescent="0.25">
      <c r="A60" s="8"/>
      <c r="B60" s="11"/>
      <c r="C60" s="115" t="s">
        <v>342</v>
      </c>
      <c r="D60" s="9" t="s">
        <v>349</v>
      </c>
      <c r="E60" s="9" t="s">
        <v>343</v>
      </c>
      <c r="F60" s="121">
        <v>885</v>
      </c>
      <c r="G60" s="121">
        <v>885</v>
      </c>
      <c r="H60" s="122">
        <v>0</v>
      </c>
      <c r="I60" s="83">
        <v>46119</v>
      </c>
      <c r="J60" s="10">
        <v>885</v>
      </c>
      <c r="K60" t="s">
        <v>382</v>
      </c>
    </row>
    <row r="61" spans="1:11" ht="17" thickTop="1" thickBot="1" x14ac:dyDescent="0.25">
      <c r="A61" s="8"/>
      <c r="B61" s="11"/>
      <c r="C61" s="148" t="s">
        <v>373</v>
      </c>
      <c r="D61" s="9" t="s">
        <v>374</v>
      </c>
      <c r="E61" s="9" t="s">
        <v>343</v>
      </c>
      <c r="F61" s="146">
        <v>132.29</v>
      </c>
      <c r="G61" s="146">
        <v>132.29</v>
      </c>
      <c r="H61" s="147"/>
      <c r="I61" s="83">
        <v>46119</v>
      </c>
      <c r="J61" s="10">
        <v>132.29</v>
      </c>
      <c r="K61" t="s">
        <v>382</v>
      </c>
    </row>
    <row r="62" spans="1:11" ht="17" thickTop="1" thickBot="1" x14ac:dyDescent="0.25">
      <c r="A62" s="6"/>
      <c r="B62" s="6"/>
      <c r="C62" s="6"/>
      <c r="D62" s="6"/>
      <c r="E62" s="12"/>
      <c r="F62" s="6"/>
      <c r="G62" s="6"/>
      <c r="H62" s="93"/>
      <c r="I62" s="79"/>
      <c r="J62" s="6"/>
    </row>
    <row r="63" spans="1:11" ht="22.25" customHeight="1" thickTop="1" thickBot="1" x14ac:dyDescent="0.25">
      <c r="A63" s="3"/>
      <c r="B63" s="3"/>
      <c r="C63" s="150" t="s">
        <v>188</v>
      </c>
      <c r="D63" s="151"/>
      <c r="E63" s="151"/>
      <c r="F63" s="151"/>
      <c r="G63" s="3"/>
      <c r="H63" s="89"/>
      <c r="I63" s="80"/>
      <c r="J63" s="3"/>
    </row>
    <row r="64" spans="1:11" ht="17" thickTop="1" thickBot="1" x14ac:dyDescent="0.25">
      <c r="A64" s="6"/>
      <c r="B64" s="6"/>
      <c r="C64" s="6"/>
      <c r="D64" s="6"/>
      <c r="E64" s="6"/>
      <c r="F64" s="6"/>
      <c r="G64" s="6"/>
      <c r="H64" s="93"/>
      <c r="I64" s="79"/>
      <c r="J64" s="6"/>
    </row>
    <row r="65" spans="1:11" ht="41" thickTop="1" thickBot="1" x14ac:dyDescent="0.25">
      <c r="A65" s="4" t="s">
        <v>0</v>
      </c>
      <c r="B65" s="5" t="s">
        <v>1</v>
      </c>
      <c r="C65" s="5" t="s">
        <v>2</v>
      </c>
      <c r="D65" s="5" t="s">
        <v>3</v>
      </c>
      <c r="E65" s="5" t="s">
        <v>4</v>
      </c>
      <c r="F65" s="5" t="s">
        <v>5</v>
      </c>
      <c r="G65" s="5" t="s">
        <v>6</v>
      </c>
      <c r="H65" s="90" t="s">
        <v>7</v>
      </c>
      <c r="I65" s="81" t="s">
        <v>307</v>
      </c>
      <c r="J65" s="5" t="s">
        <v>8</v>
      </c>
    </row>
    <row r="66" spans="1:11" ht="19.25" customHeight="1" thickTop="1" thickBot="1" x14ac:dyDescent="0.25">
      <c r="A66" s="6"/>
      <c r="B66" s="6"/>
      <c r="C66" s="6"/>
      <c r="D66" s="6"/>
      <c r="E66" s="6"/>
      <c r="F66" s="7">
        <f>SUM(F67:F81)</f>
        <v>579667.15</v>
      </c>
      <c r="G66" s="7">
        <f>SUM(G67:G81)</f>
        <v>579667.15</v>
      </c>
      <c r="H66" s="7">
        <f>SUM(H67:H79)</f>
        <v>0</v>
      </c>
      <c r="I66" s="7"/>
      <c r="J66" s="7">
        <f>SUM(J67:J78)</f>
        <v>574496.94999999995</v>
      </c>
    </row>
    <row r="67" spans="1:11" ht="17" thickTop="1" thickBot="1" x14ac:dyDescent="0.25">
      <c r="A67" s="6"/>
      <c r="B67" s="11" t="s">
        <v>70</v>
      </c>
      <c r="C67" s="9" t="s">
        <v>71</v>
      </c>
      <c r="D67" s="9" t="s">
        <v>72</v>
      </c>
      <c r="E67" s="9" t="s">
        <v>10</v>
      </c>
      <c r="F67" s="10">
        <v>256.45999999999998</v>
      </c>
      <c r="G67" s="10">
        <v>256.45999999999998</v>
      </c>
      <c r="H67" s="106">
        <v>0</v>
      </c>
      <c r="I67" s="83"/>
      <c r="J67" s="10">
        <f>F67-H67</f>
        <v>256.45999999999998</v>
      </c>
    </row>
    <row r="68" spans="1:11" ht="17" thickTop="1" thickBot="1" x14ac:dyDescent="0.25">
      <c r="A68" s="6"/>
      <c r="B68" s="11" t="s">
        <v>118</v>
      </c>
      <c r="C68" s="9" t="s">
        <v>119</v>
      </c>
      <c r="D68" s="9" t="s">
        <v>120</v>
      </c>
      <c r="E68" s="9" t="s">
        <v>121</v>
      </c>
      <c r="F68" s="105">
        <v>1260.96</v>
      </c>
      <c r="G68" s="16">
        <v>1260.96</v>
      </c>
      <c r="H68" s="107">
        <v>0</v>
      </c>
      <c r="I68" s="83" t="s">
        <v>350</v>
      </c>
      <c r="J68" s="10">
        <f t="shared" ref="J68:J78" si="2">F68-H68</f>
        <v>1260.96</v>
      </c>
      <c r="K68" s="36"/>
    </row>
    <row r="69" spans="1:11" ht="17" thickTop="1" thickBot="1" x14ac:dyDescent="0.25">
      <c r="A69" s="6"/>
      <c r="B69" s="11" t="s">
        <v>118</v>
      </c>
      <c r="C69" s="9" t="s">
        <v>119</v>
      </c>
      <c r="D69" s="9" t="s">
        <v>122</v>
      </c>
      <c r="E69" s="9" t="s">
        <v>121</v>
      </c>
      <c r="F69" s="16">
        <v>13908.82</v>
      </c>
      <c r="G69" s="16">
        <v>13908.82</v>
      </c>
      <c r="H69" s="106">
        <v>0</v>
      </c>
      <c r="I69" s="83" t="s">
        <v>350</v>
      </c>
      <c r="J69" s="10">
        <f t="shared" si="2"/>
        <v>13908.82</v>
      </c>
    </row>
    <row r="70" spans="1:11" ht="17" thickTop="1" thickBot="1" x14ac:dyDescent="0.25">
      <c r="A70" s="6"/>
      <c r="B70" s="11" t="s">
        <v>123</v>
      </c>
      <c r="C70" s="9" t="s">
        <v>124</v>
      </c>
      <c r="D70" s="9" t="s">
        <v>125</v>
      </c>
      <c r="E70" s="9" t="s">
        <v>121</v>
      </c>
      <c r="F70" s="16">
        <v>2029.18</v>
      </c>
      <c r="G70" s="16">
        <v>2029.18</v>
      </c>
      <c r="H70" s="106">
        <v>0</v>
      </c>
      <c r="I70" s="83" t="s">
        <v>350</v>
      </c>
      <c r="J70" s="10">
        <f t="shared" si="2"/>
        <v>2029.18</v>
      </c>
    </row>
    <row r="71" spans="1:11" ht="17" thickTop="1" thickBot="1" x14ac:dyDescent="0.25">
      <c r="A71" s="6"/>
      <c r="B71" s="9" t="s">
        <v>118</v>
      </c>
      <c r="C71" s="9" t="s">
        <v>119</v>
      </c>
      <c r="D71" s="9" t="s">
        <v>334</v>
      </c>
      <c r="E71" s="9" t="s">
        <v>121</v>
      </c>
      <c r="F71" s="23">
        <v>127564.38</v>
      </c>
      <c r="G71" s="23">
        <v>127564.38</v>
      </c>
      <c r="H71" s="23">
        <v>0</v>
      </c>
      <c r="I71" s="83" t="s">
        <v>350</v>
      </c>
      <c r="J71" s="10">
        <f t="shared" si="2"/>
        <v>127564.38</v>
      </c>
    </row>
    <row r="72" spans="1:11" ht="17" thickTop="1" thickBot="1" x14ac:dyDescent="0.25">
      <c r="A72" s="6"/>
      <c r="B72" s="9" t="s">
        <v>118</v>
      </c>
      <c r="C72" s="9" t="s">
        <v>119</v>
      </c>
      <c r="D72" s="9" t="s">
        <v>335</v>
      </c>
      <c r="E72" s="9" t="s">
        <v>121</v>
      </c>
      <c r="F72" s="23">
        <v>27638.95</v>
      </c>
      <c r="G72" s="23">
        <v>27638.95</v>
      </c>
      <c r="H72" s="23">
        <v>0</v>
      </c>
      <c r="I72" s="83" t="s">
        <v>350</v>
      </c>
      <c r="J72" s="10">
        <f t="shared" ref="J72" si="3">F72-H72</f>
        <v>27638.95</v>
      </c>
    </row>
    <row r="73" spans="1:11" ht="17" thickTop="1" thickBot="1" x14ac:dyDescent="0.25">
      <c r="A73" s="6"/>
      <c r="B73" s="11" t="s">
        <v>118</v>
      </c>
      <c r="C73" s="9" t="s">
        <v>119</v>
      </c>
      <c r="D73" s="9" t="s">
        <v>376</v>
      </c>
      <c r="E73" s="9" t="s">
        <v>121</v>
      </c>
      <c r="F73" s="105">
        <v>227908.5</v>
      </c>
      <c r="G73" s="16">
        <v>227908.5</v>
      </c>
      <c r="H73" s="107">
        <v>0</v>
      </c>
      <c r="I73" s="83" t="s">
        <v>350</v>
      </c>
      <c r="J73" s="10">
        <f>F73-H73</f>
        <v>227908.5</v>
      </c>
      <c r="K73" s="36"/>
    </row>
    <row r="74" spans="1:11" ht="17" thickTop="1" thickBot="1" x14ac:dyDescent="0.25">
      <c r="A74" s="6"/>
      <c r="B74" s="11" t="s">
        <v>118</v>
      </c>
      <c r="C74" s="9" t="s">
        <v>119</v>
      </c>
      <c r="D74" s="9" t="s">
        <v>377</v>
      </c>
      <c r="E74" s="9" t="s">
        <v>121</v>
      </c>
      <c r="F74" s="23">
        <v>151939</v>
      </c>
      <c r="G74" s="23">
        <v>151939</v>
      </c>
      <c r="H74" s="106">
        <v>0</v>
      </c>
      <c r="I74" s="83" t="s">
        <v>350</v>
      </c>
      <c r="J74" s="10">
        <f>F74-H74</f>
        <v>151939</v>
      </c>
    </row>
    <row r="75" spans="1:11" ht="18.5" customHeight="1" thickTop="1" thickBot="1" x14ac:dyDescent="0.25">
      <c r="A75" s="6"/>
      <c r="B75" s="9" t="s">
        <v>96</v>
      </c>
      <c r="C75" s="9" t="s">
        <v>97</v>
      </c>
      <c r="D75" s="9" t="s">
        <v>51</v>
      </c>
      <c r="E75" s="9" t="s">
        <v>98</v>
      </c>
      <c r="F75" s="10">
        <v>1412.99</v>
      </c>
      <c r="G75" s="10">
        <v>1412.99</v>
      </c>
      <c r="H75" s="106">
        <v>0</v>
      </c>
      <c r="I75" s="83" t="s">
        <v>350</v>
      </c>
      <c r="J75" s="10">
        <f t="shared" si="2"/>
        <v>1412.99</v>
      </c>
      <c r="K75" t="s">
        <v>236</v>
      </c>
    </row>
    <row r="76" spans="1:11" ht="18.5" customHeight="1" thickTop="1" thickBot="1" x14ac:dyDescent="0.25">
      <c r="A76" s="15"/>
      <c r="B76" s="9" t="s">
        <v>48</v>
      </c>
      <c r="C76" s="9" t="s">
        <v>340</v>
      </c>
      <c r="D76" s="9" t="s">
        <v>120</v>
      </c>
      <c r="E76" s="9" t="s">
        <v>243</v>
      </c>
      <c r="F76" s="10">
        <v>3091.59</v>
      </c>
      <c r="G76" s="10">
        <v>3091.59</v>
      </c>
      <c r="H76" s="106">
        <v>0</v>
      </c>
      <c r="I76" s="83" t="s">
        <v>350</v>
      </c>
      <c r="J76" s="10">
        <f t="shared" si="2"/>
        <v>3091.59</v>
      </c>
      <c r="K76" t="s">
        <v>310</v>
      </c>
    </row>
    <row r="77" spans="1:11" ht="18.5" customHeight="1" thickTop="1" thickBot="1" x14ac:dyDescent="0.25">
      <c r="A77" s="15"/>
      <c r="B77" s="9" t="s">
        <v>48</v>
      </c>
      <c r="C77" s="9" t="s">
        <v>244</v>
      </c>
      <c r="D77" s="9" t="s">
        <v>125</v>
      </c>
      <c r="E77" s="9" t="s">
        <v>243</v>
      </c>
      <c r="F77" s="10">
        <v>2923.55</v>
      </c>
      <c r="G77" s="10">
        <v>2923.55</v>
      </c>
      <c r="H77" s="106">
        <v>0</v>
      </c>
      <c r="I77" s="83" t="s">
        <v>350</v>
      </c>
      <c r="J77" s="10">
        <f t="shared" si="2"/>
        <v>2923.55</v>
      </c>
      <c r="K77" t="s">
        <v>310</v>
      </c>
    </row>
    <row r="78" spans="1:11" ht="18.5" customHeight="1" thickTop="1" thickBot="1" x14ac:dyDescent="0.25">
      <c r="A78" s="15"/>
      <c r="B78" s="9" t="s">
        <v>48</v>
      </c>
      <c r="C78" s="9" t="s">
        <v>245</v>
      </c>
      <c r="D78" s="9"/>
      <c r="E78" s="9" t="s">
        <v>243</v>
      </c>
      <c r="F78" s="10">
        <v>14562.57</v>
      </c>
      <c r="G78" s="10">
        <v>14562.57</v>
      </c>
      <c r="H78" s="106">
        <v>0</v>
      </c>
      <c r="I78" s="83" t="s">
        <v>350</v>
      </c>
      <c r="J78" s="10">
        <f t="shared" si="2"/>
        <v>14562.57</v>
      </c>
      <c r="K78" t="s">
        <v>310</v>
      </c>
    </row>
    <row r="79" spans="1:11" ht="18.5" customHeight="1" thickTop="1" thickBot="1" x14ac:dyDescent="0.25">
      <c r="A79" s="15"/>
      <c r="B79" s="9"/>
      <c r="C79" s="115" t="s">
        <v>375</v>
      </c>
      <c r="D79" s="9"/>
      <c r="E79" s="9" t="s">
        <v>311</v>
      </c>
      <c r="F79" s="116">
        <v>267.42</v>
      </c>
      <c r="G79" s="116">
        <v>267.42</v>
      </c>
      <c r="H79" s="117">
        <v>0</v>
      </c>
      <c r="I79" s="83" t="s">
        <v>350</v>
      </c>
      <c r="J79" s="10">
        <f t="shared" ref="J79" si="4">F79-H79</f>
        <v>267.42</v>
      </c>
      <c r="K79" t="s">
        <v>310</v>
      </c>
    </row>
    <row r="80" spans="1:11" ht="17" thickTop="1" thickBot="1" x14ac:dyDescent="0.25">
      <c r="A80" s="6"/>
      <c r="B80" s="11" t="s">
        <v>123</v>
      </c>
      <c r="C80" s="9" t="s">
        <v>244</v>
      </c>
      <c r="D80" s="9" t="s">
        <v>379</v>
      </c>
      <c r="E80" s="9" t="s">
        <v>121</v>
      </c>
      <c r="F80" s="16">
        <v>4902.78</v>
      </c>
      <c r="G80" s="16">
        <v>4902.78</v>
      </c>
      <c r="H80" s="106">
        <v>0</v>
      </c>
      <c r="I80" s="83">
        <v>46119</v>
      </c>
      <c r="J80" s="10">
        <f t="shared" ref="J80" si="5">F80-H80</f>
        <v>4902.78</v>
      </c>
      <c r="K80" t="s">
        <v>310</v>
      </c>
    </row>
    <row r="81" spans="1:11" ht="18.5" customHeight="1" thickTop="1" thickBot="1" x14ac:dyDescent="0.25">
      <c r="A81" s="15"/>
      <c r="B81" s="9"/>
      <c r="C81" s="9"/>
      <c r="D81" s="9"/>
      <c r="E81" s="9"/>
      <c r="F81" s="10"/>
      <c r="G81" s="10"/>
      <c r="H81" s="92"/>
      <c r="I81" s="83"/>
      <c r="J81" s="10"/>
    </row>
    <row r="82" spans="1:11" ht="18.5" customHeight="1" thickTop="1" thickBot="1" x14ac:dyDescent="0.25">
      <c r="A82" s="15"/>
      <c r="B82" s="9"/>
      <c r="C82" s="9"/>
      <c r="D82" s="9"/>
      <c r="E82" s="9"/>
      <c r="F82" s="10"/>
      <c r="G82" s="10"/>
      <c r="H82" s="92"/>
      <c r="I82" s="83"/>
      <c r="J82" s="10"/>
    </row>
    <row r="83" spans="1:11" ht="17" thickTop="1" thickBot="1" x14ac:dyDescent="0.25">
      <c r="A83" s="6"/>
      <c r="B83" s="6"/>
      <c r="C83" s="6"/>
      <c r="D83" s="6"/>
      <c r="E83" s="12"/>
      <c r="F83" s="6"/>
      <c r="G83" s="6"/>
      <c r="H83" s="93"/>
      <c r="I83" s="79"/>
      <c r="J83" s="6"/>
    </row>
    <row r="84" spans="1:11" ht="22.25" customHeight="1" thickTop="1" thickBot="1" x14ac:dyDescent="0.25">
      <c r="A84" s="3"/>
      <c r="B84" s="3"/>
      <c r="C84" s="150" t="s">
        <v>189</v>
      </c>
      <c r="D84" s="151"/>
      <c r="E84" s="151"/>
      <c r="F84" s="151"/>
      <c r="G84" s="3"/>
      <c r="H84" s="89"/>
      <c r="I84" s="80"/>
      <c r="J84" s="3"/>
    </row>
    <row r="85" spans="1:11" ht="17" thickTop="1" thickBot="1" x14ac:dyDescent="0.25">
      <c r="A85" s="6"/>
      <c r="B85" s="6"/>
      <c r="C85" s="6"/>
      <c r="D85" s="6"/>
      <c r="E85" s="6"/>
      <c r="F85" s="6"/>
      <c r="G85" s="6"/>
      <c r="H85" s="93"/>
      <c r="I85" s="79"/>
      <c r="J85" s="6"/>
    </row>
    <row r="86" spans="1:11" ht="22.25" customHeight="1" thickTop="1" thickBot="1" x14ac:dyDescent="0.25">
      <c r="A86" s="3"/>
      <c r="B86" s="3"/>
      <c r="C86" s="150" t="s">
        <v>241</v>
      </c>
      <c r="D86" s="151"/>
      <c r="E86" s="151"/>
      <c r="F86" s="151"/>
      <c r="G86" s="3"/>
      <c r="H86" s="89"/>
      <c r="I86" s="80"/>
      <c r="J86" s="3"/>
    </row>
    <row r="87" spans="1:11" ht="17" thickTop="1" thickBot="1" x14ac:dyDescent="0.25">
      <c r="A87" s="6"/>
      <c r="B87" s="6"/>
      <c r="C87" s="6"/>
      <c r="D87" s="6"/>
      <c r="E87" s="6"/>
      <c r="F87" s="21">
        <f>SUM(F89:F103)</f>
        <v>68823.759999999995</v>
      </c>
      <c r="G87" s="21">
        <f>SUM(G89:G103)</f>
        <v>68823.759999999995</v>
      </c>
      <c r="H87" s="101">
        <f>SUM(H89:H103)</f>
        <v>0</v>
      </c>
      <c r="I87" s="82"/>
      <c r="J87" s="21">
        <f>SUM(J89:J97)</f>
        <v>40473.409999999996</v>
      </c>
    </row>
    <row r="88" spans="1:11" ht="17" thickTop="1" thickBot="1" x14ac:dyDescent="0.25">
      <c r="A88" s="4"/>
      <c r="B88" s="5" t="s">
        <v>1</v>
      </c>
      <c r="C88" s="5" t="s">
        <v>2</v>
      </c>
      <c r="D88" s="5" t="s">
        <v>3</v>
      </c>
      <c r="E88" s="5" t="s">
        <v>4</v>
      </c>
      <c r="F88" s="5" t="s">
        <v>5</v>
      </c>
      <c r="G88" s="5" t="s">
        <v>6</v>
      </c>
      <c r="H88" s="90" t="s">
        <v>7</v>
      </c>
      <c r="I88" s="81" t="s">
        <v>307</v>
      </c>
      <c r="J88" s="5" t="s">
        <v>8</v>
      </c>
    </row>
    <row r="89" spans="1:11" ht="17" thickTop="1" thickBot="1" x14ac:dyDescent="0.25">
      <c r="A89" s="38">
        <v>46086</v>
      </c>
      <c r="B89" s="11" t="s">
        <v>149</v>
      </c>
      <c r="C89" s="9" t="s">
        <v>150</v>
      </c>
      <c r="D89" s="9" t="s">
        <v>151</v>
      </c>
      <c r="E89" s="9" t="s">
        <v>148</v>
      </c>
      <c r="F89" s="22">
        <v>8000</v>
      </c>
      <c r="G89" s="22">
        <v>8000</v>
      </c>
      <c r="H89" s="97">
        <v>0</v>
      </c>
      <c r="I89" s="83"/>
      <c r="J89" s="22">
        <f t="shared" ref="J89:J98" si="6">F89-H89</f>
        <v>8000</v>
      </c>
    </row>
    <row r="90" spans="1:11" ht="17" thickTop="1" thickBot="1" x14ac:dyDescent="0.25">
      <c r="A90" s="38">
        <v>46087</v>
      </c>
      <c r="B90" s="9" t="s">
        <v>48</v>
      </c>
      <c r="C90" s="18" t="s">
        <v>222</v>
      </c>
      <c r="D90" s="9" t="s">
        <v>228</v>
      </c>
      <c r="E90" s="9" t="s">
        <v>148</v>
      </c>
      <c r="F90" s="19">
        <v>1924.62</v>
      </c>
      <c r="G90" s="19">
        <v>1924.62</v>
      </c>
      <c r="H90" s="97">
        <v>0</v>
      </c>
      <c r="I90" s="83">
        <v>46119</v>
      </c>
      <c r="J90" s="22">
        <f t="shared" si="6"/>
        <v>1924.62</v>
      </c>
      <c r="K90" t="s">
        <v>380</v>
      </c>
    </row>
    <row r="91" spans="1:11" ht="17" thickTop="1" thickBot="1" x14ac:dyDescent="0.25">
      <c r="A91" s="38">
        <v>46087</v>
      </c>
      <c r="B91" s="9" t="s">
        <v>48</v>
      </c>
      <c r="C91" s="18" t="s">
        <v>226</v>
      </c>
      <c r="D91" s="9" t="s">
        <v>228</v>
      </c>
      <c r="E91" s="9" t="s">
        <v>148</v>
      </c>
      <c r="F91" s="19">
        <v>3951.82</v>
      </c>
      <c r="G91" s="19">
        <v>3951.82</v>
      </c>
      <c r="H91" s="97">
        <v>0</v>
      </c>
      <c r="I91" s="83">
        <v>46119</v>
      </c>
      <c r="J91" s="22">
        <f t="shared" si="6"/>
        <v>3951.82</v>
      </c>
      <c r="K91" t="s">
        <v>380</v>
      </c>
    </row>
    <row r="92" spans="1:11" ht="17" thickTop="1" thickBot="1" x14ac:dyDescent="0.25">
      <c r="A92" s="38">
        <v>46086</v>
      </c>
      <c r="B92" s="9"/>
      <c r="C92" s="18" t="s">
        <v>173</v>
      </c>
      <c r="D92" s="9" t="s">
        <v>159</v>
      </c>
      <c r="E92" s="9" t="s">
        <v>148</v>
      </c>
      <c r="F92" s="19">
        <v>6144.83</v>
      </c>
      <c r="G92" s="19">
        <v>6144.83</v>
      </c>
      <c r="H92" s="97">
        <v>0</v>
      </c>
      <c r="I92" s="83">
        <v>46119</v>
      </c>
      <c r="J92" s="22">
        <f t="shared" si="6"/>
        <v>6144.83</v>
      </c>
    </row>
    <row r="93" spans="1:11" ht="17" thickTop="1" thickBot="1" x14ac:dyDescent="0.25">
      <c r="A93" s="38">
        <v>46086</v>
      </c>
      <c r="B93" s="9"/>
      <c r="C93" s="18" t="s">
        <v>158</v>
      </c>
      <c r="D93" s="9" t="s">
        <v>159</v>
      </c>
      <c r="E93" s="9" t="s">
        <v>148</v>
      </c>
      <c r="F93" s="19">
        <v>4635.74</v>
      </c>
      <c r="G93" s="19">
        <v>4635.74</v>
      </c>
      <c r="H93" s="97">
        <v>0</v>
      </c>
      <c r="I93" s="83">
        <v>46119</v>
      </c>
      <c r="J93" s="22">
        <f t="shared" si="6"/>
        <v>4635.74</v>
      </c>
    </row>
    <row r="94" spans="1:11" ht="17" thickTop="1" thickBot="1" x14ac:dyDescent="0.25">
      <c r="A94" s="38">
        <v>46086</v>
      </c>
      <c r="B94" s="9"/>
      <c r="C94" s="18" t="s">
        <v>229</v>
      </c>
      <c r="D94" s="9" t="s">
        <v>159</v>
      </c>
      <c r="E94" s="9" t="s">
        <v>148</v>
      </c>
      <c r="F94" s="19">
        <v>4662.3100000000004</v>
      </c>
      <c r="G94" s="19">
        <v>4662.3100000000004</v>
      </c>
      <c r="H94" s="97">
        <v>0</v>
      </c>
      <c r="I94" s="83">
        <v>46119</v>
      </c>
      <c r="J94" s="22">
        <f t="shared" si="6"/>
        <v>4662.3100000000004</v>
      </c>
    </row>
    <row r="95" spans="1:11" ht="17" thickTop="1" thickBot="1" x14ac:dyDescent="0.25">
      <c r="A95" s="38">
        <v>46086</v>
      </c>
      <c r="B95" s="9" t="s">
        <v>167</v>
      </c>
      <c r="C95" s="11" t="s">
        <v>168</v>
      </c>
      <c r="D95" s="9" t="s">
        <v>159</v>
      </c>
      <c r="E95" s="9" t="s">
        <v>148</v>
      </c>
      <c r="F95" s="22">
        <v>5554.67</v>
      </c>
      <c r="G95" s="22">
        <v>5554.67</v>
      </c>
      <c r="H95" s="97">
        <v>0</v>
      </c>
      <c r="I95" s="83">
        <v>46119</v>
      </c>
      <c r="J95" s="22">
        <f t="shared" si="6"/>
        <v>5554.67</v>
      </c>
    </row>
    <row r="96" spans="1:11" ht="17" thickTop="1" thickBot="1" x14ac:dyDescent="0.25">
      <c r="A96" s="38">
        <v>46087</v>
      </c>
      <c r="B96" s="9" t="s">
        <v>48</v>
      </c>
      <c r="C96" s="18" t="s">
        <v>230</v>
      </c>
      <c r="D96" s="9" t="s">
        <v>22</v>
      </c>
      <c r="E96" s="9" t="s">
        <v>186</v>
      </c>
      <c r="F96" s="123">
        <v>2797.35</v>
      </c>
      <c r="G96" s="123">
        <v>2797.35</v>
      </c>
      <c r="H96" s="97">
        <v>0</v>
      </c>
      <c r="I96" s="83">
        <v>46119</v>
      </c>
      <c r="J96" s="22">
        <f t="shared" si="6"/>
        <v>2797.35</v>
      </c>
      <c r="K96" t="s">
        <v>380</v>
      </c>
    </row>
    <row r="97" spans="1:11" ht="17" thickTop="1" thickBot="1" x14ac:dyDescent="0.25">
      <c r="A97" s="38">
        <v>46087</v>
      </c>
      <c r="B97" s="9" t="s">
        <v>48</v>
      </c>
      <c r="C97" s="18" t="s">
        <v>231</v>
      </c>
      <c r="D97" s="9" t="s">
        <v>22</v>
      </c>
      <c r="E97" s="9" t="s">
        <v>186</v>
      </c>
      <c r="F97" s="124">
        <v>2802.07</v>
      </c>
      <c r="G97" s="124">
        <v>2802.07</v>
      </c>
      <c r="H97" s="97">
        <v>0</v>
      </c>
      <c r="I97" s="83">
        <v>46119</v>
      </c>
      <c r="J97" s="22">
        <f t="shared" si="6"/>
        <v>2802.07</v>
      </c>
      <c r="K97" t="s">
        <v>380</v>
      </c>
    </row>
    <row r="98" spans="1:11" ht="17" thickTop="1" thickBot="1" x14ac:dyDescent="0.25">
      <c r="A98" s="6"/>
      <c r="B98" s="6"/>
      <c r="C98" s="110" t="s">
        <v>333</v>
      </c>
      <c r="D98" s="110" t="s">
        <v>86</v>
      </c>
      <c r="E98" s="6" t="s">
        <v>148</v>
      </c>
      <c r="F98" s="112">
        <v>4000</v>
      </c>
      <c r="G98" s="112">
        <v>4000</v>
      </c>
      <c r="H98" s="112">
        <v>0</v>
      </c>
      <c r="I98" s="82"/>
      <c r="J98" s="22">
        <f t="shared" si="6"/>
        <v>4000</v>
      </c>
      <c r="K98" s="1"/>
    </row>
    <row r="99" spans="1:11" ht="17" thickTop="1" thickBot="1" x14ac:dyDescent="0.25">
      <c r="A99" s="38">
        <v>46087</v>
      </c>
      <c r="B99" s="11" t="s">
        <v>48</v>
      </c>
      <c r="C99" s="18" t="s">
        <v>223</v>
      </c>
      <c r="D99" s="9" t="s">
        <v>351</v>
      </c>
      <c r="E99" s="9" t="s">
        <v>148</v>
      </c>
      <c r="F99" s="19">
        <v>6635.26</v>
      </c>
      <c r="G99" s="19">
        <v>6635.26</v>
      </c>
      <c r="H99" s="97">
        <v>0</v>
      </c>
      <c r="I99" s="83">
        <v>46119</v>
      </c>
      <c r="J99" s="22">
        <f>F99-H99</f>
        <v>6635.26</v>
      </c>
    </row>
    <row r="100" spans="1:11" ht="17" thickTop="1" thickBot="1" x14ac:dyDescent="0.25">
      <c r="A100" s="38">
        <v>46087</v>
      </c>
      <c r="B100" s="9" t="s">
        <v>48</v>
      </c>
      <c r="C100" s="18" t="s">
        <v>224</v>
      </c>
      <c r="D100" s="9" t="s">
        <v>352</v>
      </c>
      <c r="E100" s="9" t="s">
        <v>148</v>
      </c>
      <c r="F100" s="19">
        <v>6322.38</v>
      </c>
      <c r="G100" s="19">
        <v>6322.38</v>
      </c>
      <c r="H100" s="97">
        <v>0</v>
      </c>
      <c r="I100" s="83">
        <v>46119</v>
      </c>
      <c r="J100" s="22">
        <f>F100-H100</f>
        <v>6322.38</v>
      </c>
    </row>
    <row r="101" spans="1:11" ht="17" thickTop="1" thickBot="1" x14ac:dyDescent="0.25">
      <c r="A101" s="38">
        <v>46087</v>
      </c>
      <c r="B101" s="9" t="s">
        <v>48</v>
      </c>
      <c r="C101" s="18" t="s">
        <v>225</v>
      </c>
      <c r="D101" s="9" t="s">
        <v>352</v>
      </c>
      <c r="E101" s="9" t="s">
        <v>148</v>
      </c>
      <c r="F101" s="19">
        <v>5130.38</v>
      </c>
      <c r="G101" s="19">
        <v>5130.38</v>
      </c>
      <c r="H101" s="97">
        <v>0</v>
      </c>
      <c r="I101" s="83">
        <v>46119</v>
      </c>
      <c r="J101" s="22">
        <f>F101-H101</f>
        <v>5130.38</v>
      </c>
    </row>
    <row r="102" spans="1:11" ht="16.75" customHeight="1" thickTop="1" thickBot="1" x14ac:dyDescent="0.25">
      <c r="A102" s="38">
        <v>46087</v>
      </c>
      <c r="B102" s="9" t="s">
        <v>48</v>
      </c>
      <c r="C102" s="18" t="s">
        <v>227</v>
      </c>
      <c r="D102" s="9" t="s">
        <v>352</v>
      </c>
      <c r="E102" s="9" t="s">
        <v>148</v>
      </c>
      <c r="F102" s="19">
        <v>4982.33</v>
      </c>
      <c r="G102" s="19">
        <v>4982.33</v>
      </c>
      <c r="H102" s="97">
        <v>0</v>
      </c>
      <c r="I102" s="83">
        <v>46119</v>
      </c>
      <c r="J102" s="22">
        <f>F102-H102</f>
        <v>4982.33</v>
      </c>
    </row>
    <row r="103" spans="1:11" ht="17" thickTop="1" thickBot="1" x14ac:dyDescent="0.25">
      <c r="A103" s="38">
        <v>46087</v>
      </c>
      <c r="B103" s="9" t="s">
        <v>48</v>
      </c>
      <c r="C103" s="18" t="s">
        <v>222</v>
      </c>
      <c r="D103" s="9" t="s">
        <v>338</v>
      </c>
      <c r="E103" s="9" t="s">
        <v>148</v>
      </c>
      <c r="F103" s="19">
        <v>1280</v>
      </c>
      <c r="G103" s="19">
        <v>1280</v>
      </c>
      <c r="H103" s="97">
        <v>0</v>
      </c>
      <c r="I103" s="83"/>
      <c r="J103" s="22">
        <f t="shared" ref="J103" si="7">F103-H103</f>
        <v>1280</v>
      </c>
      <c r="K103" s="152" t="s">
        <v>381</v>
      </c>
    </row>
    <row r="104" spans="1:11" ht="17" thickTop="1" thickBot="1" x14ac:dyDescent="0.25">
      <c r="A104" s="8"/>
      <c r="B104" s="9"/>
      <c r="C104" s="9"/>
      <c r="D104" s="9"/>
      <c r="E104" s="9"/>
      <c r="F104" s="22"/>
      <c r="G104" s="22"/>
      <c r="H104" s="92"/>
      <c r="I104" s="83"/>
      <c r="J104" s="22"/>
    </row>
    <row r="105" spans="1:11" ht="17" thickTop="1" thickBot="1" x14ac:dyDescent="0.25">
      <c r="A105" s="8"/>
      <c r="B105" s="9"/>
      <c r="C105" s="9"/>
      <c r="D105" s="9"/>
      <c r="E105" s="9"/>
      <c r="F105" s="22"/>
      <c r="G105" s="22"/>
      <c r="H105" s="92"/>
      <c r="I105" s="83"/>
      <c r="J105" s="22"/>
    </row>
    <row r="106" spans="1:11" ht="17" thickTop="1" thickBot="1" x14ac:dyDescent="0.25">
      <c r="A106" s="8"/>
      <c r="B106" s="9"/>
      <c r="C106" s="9"/>
      <c r="D106" s="9"/>
      <c r="E106" s="9"/>
      <c r="F106" s="22"/>
      <c r="G106" s="22"/>
      <c r="H106" s="92"/>
      <c r="I106" s="83"/>
      <c r="J106" s="22"/>
    </row>
    <row r="107" spans="1:11" ht="17" thickTop="1" thickBot="1" x14ac:dyDescent="0.25">
      <c r="A107" s="8"/>
      <c r="B107" s="9"/>
      <c r="C107" s="9"/>
      <c r="D107" s="9"/>
      <c r="E107" s="9"/>
      <c r="F107" s="22"/>
      <c r="G107" s="22"/>
      <c r="H107" s="92"/>
      <c r="I107" s="83"/>
      <c r="J107" s="22"/>
    </row>
    <row r="108" spans="1:11" ht="17" thickTop="1" thickBot="1" x14ac:dyDescent="0.25">
      <c r="A108" s="8"/>
      <c r="B108" s="9"/>
      <c r="C108" s="9"/>
      <c r="D108" s="9"/>
      <c r="E108" s="9"/>
      <c r="F108" s="22"/>
      <c r="G108" s="22"/>
      <c r="H108" s="92"/>
      <c r="I108" s="83"/>
      <c r="J108" s="22"/>
    </row>
    <row r="109" spans="1:11" ht="17" thickTop="1" thickBot="1" x14ac:dyDescent="0.25">
      <c r="A109" s="8"/>
      <c r="B109" s="9"/>
      <c r="C109" s="9"/>
      <c r="D109" s="9"/>
      <c r="E109" s="9"/>
      <c r="F109" s="22"/>
      <c r="G109" s="22"/>
      <c r="H109" s="92"/>
      <c r="I109" s="83"/>
      <c r="J109" s="22"/>
    </row>
    <row r="110" spans="1:11" ht="17" thickTop="1" thickBot="1" x14ac:dyDescent="0.25">
      <c r="A110" s="8"/>
      <c r="B110" s="9"/>
      <c r="C110" s="9"/>
      <c r="D110" s="9"/>
      <c r="E110" s="9"/>
      <c r="F110" s="22"/>
      <c r="G110" s="22"/>
      <c r="H110" s="92"/>
      <c r="I110" s="83"/>
      <c r="J110" s="22"/>
    </row>
    <row r="111" spans="1:11" ht="17" thickTop="1" thickBot="1" x14ac:dyDescent="0.25">
      <c r="A111" s="8"/>
      <c r="B111" s="9"/>
      <c r="C111" s="9"/>
      <c r="D111" s="9"/>
      <c r="E111" s="9"/>
      <c r="F111" s="22"/>
      <c r="G111" s="22"/>
      <c r="H111" s="92"/>
      <c r="I111" s="83"/>
      <c r="J111" s="22"/>
    </row>
    <row r="112" spans="1:11" ht="22.25" customHeight="1" thickTop="1" thickBot="1" x14ac:dyDescent="0.25">
      <c r="A112" s="3"/>
      <c r="B112" s="3"/>
      <c r="C112" s="150" t="s">
        <v>239</v>
      </c>
      <c r="D112" s="151"/>
      <c r="E112" s="151"/>
      <c r="F112" s="151"/>
      <c r="G112" s="3"/>
      <c r="H112" s="89"/>
      <c r="I112" s="80"/>
      <c r="J112" s="3"/>
    </row>
    <row r="113" spans="1:11" ht="17" thickTop="1" thickBot="1" x14ac:dyDescent="0.25">
      <c r="A113" s="6"/>
      <c r="B113" s="6"/>
      <c r="C113" s="6"/>
      <c r="D113" s="6"/>
      <c r="E113" s="6"/>
      <c r="F113" s="6"/>
      <c r="G113" s="6"/>
      <c r="H113" s="93"/>
      <c r="I113" s="79"/>
      <c r="J113" s="6"/>
    </row>
    <row r="114" spans="1:11" ht="41" thickTop="1" thickBot="1" x14ac:dyDescent="0.25">
      <c r="A114" s="4" t="s">
        <v>0</v>
      </c>
      <c r="B114" s="5" t="s">
        <v>1</v>
      </c>
      <c r="C114" s="5" t="s">
        <v>2</v>
      </c>
      <c r="D114" s="5" t="s">
        <v>3</v>
      </c>
      <c r="E114" s="5" t="s">
        <v>4</v>
      </c>
      <c r="F114" s="5" t="s">
        <v>5</v>
      </c>
      <c r="G114" s="5" t="s">
        <v>6</v>
      </c>
      <c r="H114" s="90" t="s">
        <v>7</v>
      </c>
      <c r="I114" s="81" t="s">
        <v>307</v>
      </c>
      <c r="J114" s="5" t="s">
        <v>8</v>
      </c>
    </row>
    <row r="115" spans="1:11" ht="17" thickTop="1" thickBot="1" x14ac:dyDescent="0.25">
      <c r="A115" s="6"/>
      <c r="B115" s="6"/>
      <c r="C115" s="6"/>
      <c r="D115" s="6"/>
      <c r="E115" s="6"/>
      <c r="F115" s="21">
        <f>SUM(F116:F121)</f>
        <v>26542.82</v>
      </c>
      <c r="G115" s="21">
        <f>SUM(G116:G121)</f>
        <v>26542.82</v>
      </c>
      <c r="H115" s="91">
        <f>SUM(H116:H121)</f>
        <v>0</v>
      </c>
      <c r="I115" s="82"/>
      <c r="J115" s="21">
        <f>SUM(J116:J121)</f>
        <v>26542.82</v>
      </c>
      <c r="K115" s="1"/>
    </row>
    <row r="116" spans="1:11" ht="17" thickTop="1" thickBot="1" x14ac:dyDescent="0.25">
      <c r="A116" s="6"/>
      <c r="B116" s="9" t="s">
        <v>67</v>
      </c>
      <c r="C116" s="9" t="s">
        <v>68</v>
      </c>
      <c r="D116" s="9" t="s">
        <v>16</v>
      </c>
      <c r="E116" s="9" t="s">
        <v>89</v>
      </c>
      <c r="F116" s="22">
        <v>4432.8100000000004</v>
      </c>
      <c r="G116" s="22">
        <v>4432.8100000000004</v>
      </c>
      <c r="H116" s="92">
        <v>0</v>
      </c>
      <c r="I116" s="83" t="s">
        <v>353</v>
      </c>
      <c r="J116" s="22">
        <f t="shared" ref="J116:J121" si="8">F116-H116</f>
        <v>4432.8100000000004</v>
      </c>
    </row>
    <row r="117" spans="1:11" ht="17" thickTop="1" thickBot="1" x14ac:dyDescent="0.25">
      <c r="A117" s="6"/>
      <c r="B117" s="11" t="s">
        <v>91</v>
      </c>
      <c r="C117" s="9" t="s">
        <v>92</v>
      </c>
      <c r="D117" s="9" t="s">
        <v>90</v>
      </c>
      <c r="E117" s="9" t="s">
        <v>89</v>
      </c>
      <c r="F117" s="22">
        <v>474.6</v>
      </c>
      <c r="G117" s="22">
        <v>474.6</v>
      </c>
      <c r="H117" s="92">
        <v>0</v>
      </c>
      <c r="I117" s="83" t="s">
        <v>353</v>
      </c>
      <c r="J117" s="22">
        <f t="shared" si="8"/>
        <v>474.6</v>
      </c>
    </row>
    <row r="118" spans="1:11" ht="17" thickTop="1" thickBot="1" x14ac:dyDescent="0.25">
      <c r="A118" s="6"/>
      <c r="B118" s="11" t="s">
        <v>14</v>
      </c>
      <c r="C118" s="9" t="s">
        <v>15</v>
      </c>
      <c r="D118" s="9" t="s">
        <v>16</v>
      </c>
      <c r="E118" s="9" t="s">
        <v>10</v>
      </c>
      <c r="F118" s="22">
        <v>3308.6</v>
      </c>
      <c r="G118" s="22">
        <v>3308.6</v>
      </c>
      <c r="H118" s="92">
        <v>0</v>
      </c>
      <c r="I118" s="83" t="s">
        <v>353</v>
      </c>
      <c r="J118" s="22">
        <f t="shared" si="8"/>
        <v>3308.6</v>
      </c>
    </row>
    <row r="119" spans="1:11" ht="17" thickTop="1" thickBot="1" x14ac:dyDescent="0.25">
      <c r="A119" s="6"/>
      <c r="B119" s="11" t="s">
        <v>54</v>
      </c>
      <c r="C119" s="9" t="s">
        <v>55</v>
      </c>
      <c r="D119" s="9" t="s">
        <v>25</v>
      </c>
      <c r="E119" s="9" t="s">
        <v>10</v>
      </c>
      <c r="F119" s="22">
        <v>11134.15</v>
      </c>
      <c r="G119" s="22">
        <v>11134.15</v>
      </c>
      <c r="H119" s="92">
        <v>0</v>
      </c>
      <c r="I119" s="83" t="s">
        <v>353</v>
      </c>
      <c r="J119" s="22">
        <f t="shared" si="8"/>
        <v>11134.15</v>
      </c>
    </row>
    <row r="120" spans="1:11" ht="17" thickTop="1" thickBot="1" x14ac:dyDescent="0.25">
      <c r="A120" s="6"/>
      <c r="B120" s="11" t="s">
        <v>23</v>
      </c>
      <c r="C120" s="9" t="s">
        <v>24</v>
      </c>
      <c r="D120" s="9" t="s">
        <v>25</v>
      </c>
      <c r="E120" s="9" t="s">
        <v>10</v>
      </c>
      <c r="F120" s="22">
        <v>5168.45</v>
      </c>
      <c r="G120" s="22">
        <v>5168.45</v>
      </c>
      <c r="H120" s="92">
        <v>0</v>
      </c>
      <c r="I120" s="83" t="s">
        <v>353</v>
      </c>
      <c r="J120" s="22">
        <f t="shared" si="8"/>
        <v>5168.45</v>
      </c>
    </row>
    <row r="121" spans="1:11" ht="17" thickTop="1" thickBot="1" x14ac:dyDescent="0.25">
      <c r="A121" s="6"/>
      <c r="B121" s="11" t="s">
        <v>65</v>
      </c>
      <c r="C121" s="9" t="s">
        <v>66</v>
      </c>
      <c r="D121" s="9" t="s">
        <v>25</v>
      </c>
      <c r="E121" s="9" t="s">
        <v>10</v>
      </c>
      <c r="F121" s="22">
        <v>2024.21</v>
      </c>
      <c r="G121" s="22">
        <v>2024.21</v>
      </c>
      <c r="H121" s="92">
        <v>0</v>
      </c>
      <c r="I121" s="83" t="s">
        <v>353</v>
      </c>
      <c r="J121" s="22">
        <f t="shared" si="8"/>
        <v>2024.21</v>
      </c>
    </row>
    <row r="122" spans="1:11" ht="17" thickTop="1" thickBot="1" x14ac:dyDescent="0.25">
      <c r="A122" s="8"/>
      <c r="B122" s="9"/>
      <c r="C122" s="9"/>
      <c r="D122" s="9"/>
      <c r="E122" s="9"/>
      <c r="F122" s="22"/>
      <c r="G122" s="22"/>
      <c r="H122" s="92"/>
      <c r="I122" s="83"/>
      <c r="J122" s="22"/>
    </row>
    <row r="123" spans="1:11" ht="17" thickTop="1" thickBot="1" x14ac:dyDescent="0.25">
      <c r="A123" s="8"/>
      <c r="B123" s="9"/>
      <c r="C123" s="9"/>
      <c r="D123" s="9"/>
      <c r="E123" s="9"/>
      <c r="F123" s="22"/>
      <c r="G123" s="22"/>
      <c r="H123" s="92"/>
      <c r="I123" s="83"/>
      <c r="J123" s="22"/>
    </row>
    <row r="124" spans="1:11" ht="22.25" customHeight="1" thickTop="1" thickBot="1" x14ac:dyDescent="0.25">
      <c r="A124" s="3"/>
      <c r="B124" s="3"/>
      <c r="C124" s="150" t="s">
        <v>242</v>
      </c>
      <c r="D124" s="151"/>
      <c r="E124" s="151"/>
      <c r="F124" s="151"/>
      <c r="G124" s="3"/>
      <c r="H124" s="89"/>
      <c r="I124" s="80"/>
      <c r="J124" s="3"/>
    </row>
    <row r="125" spans="1:11" ht="17" thickTop="1" thickBot="1" x14ac:dyDescent="0.25">
      <c r="A125" s="6"/>
      <c r="B125" s="6"/>
      <c r="C125" s="6"/>
      <c r="D125" s="6"/>
      <c r="E125" s="6"/>
      <c r="F125" s="12">
        <f>SUM(F127:F156)</f>
        <v>228885.98</v>
      </c>
      <c r="G125" s="12">
        <f>SUM(G127:G156)</f>
        <v>228885.98</v>
      </c>
      <c r="H125" s="93">
        <f>SUM(H127:H156)</f>
        <v>0</v>
      </c>
      <c r="I125" s="79"/>
      <c r="J125" s="12">
        <f>SUM(J127:J156)</f>
        <v>221414.98</v>
      </c>
    </row>
    <row r="126" spans="1:11" ht="41" thickTop="1" thickBot="1" x14ac:dyDescent="0.25">
      <c r="A126" s="4" t="s">
        <v>0</v>
      </c>
      <c r="B126" s="5" t="s">
        <v>1</v>
      </c>
      <c r="C126" s="5" t="s">
        <v>2</v>
      </c>
      <c r="D126" s="5" t="s">
        <v>3</v>
      </c>
      <c r="E126" s="5" t="s">
        <v>4</v>
      </c>
      <c r="F126" s="5" t="s">
        <v>5</v>
      </c>
      <c r="G126" s="5" t="s">
        <v>6</v>
      </c>
      <c r="H126" s="90" t="s">
        <v>7</v>
      </c>
      <c r="I126" s="81"/>
      <c r="J126" s="5" t="s">
        <v>8</v>
      </c>
    </row>
    <row r="127" spans="1:11" ht="17" thickTop="1" thickBot="1" x14ac:dyDescent="0.25">
      <c r="A127" s="8"/>
      <c r="B127" s="11" t="s">
        <v>17</v>
      </c>
      <c r="C127" s="9" t="s">
        <v>18</v>
      </c>
      <c r="D127" s="9" t="s">
        <v>19</v>
      </c>
      <c r="E127" s="9" t="s">
        <v>10</v>
      </c>
      <c r="F127" s="22">
        <v>600</v>
      </c>
      <c r="G127" s="22">
        <v>600</v>
      </c>
      <c r="H127" s="106">
        <v>0</v>
      </c>
      <c r="I127" s="83" t="s">
        <v>354</v>
      </c>
      <c r="J127" s="22">
        <f>F127-H127</f>
        <v>600</v>
      </c>
    </row>
    <row r="128" spans="1:11" ht="17.5" customHeight="1" thickTop="1" thickBot="1" x14ac:dyDescent="0.25">
      <c r="A128" s="8"/>
      <c r="B128" s="11" t="s">
        <v>41</v>
      </c>
      <c r="C128" s="9" t="s">
        <v>42</v>
      </c>
      <c r="D128" s="9" t="s">
        <v>43</v>
      </c>
      <c r="E128" s="9" t="s">
        <v>10</v>
      </c>
      <c r="F128" s="22">
        <v>300</v>
      </c>
      <c r="G128" s="22">
        <v>300</v>
      </c>
      <c r="H128" s="106">
        <v>0</v>
      </c>
      <c r="I128" s="83" t="s">
        <v>350</v>
      </c>
      <c r="J128" s="22">
        <f t="shared" ref="J128:J144" si="9">F128-H128</f>
        <v>300</v>
      </c>
    </row>
    <row r="129" spans="1:11" ht="17" thickTop="1" thickBot="1" x14ac:dyDescent="0.25">
      <c r="A129" s="8"/>
      <c r="B129" s="11" t="s">
        <v>84</v>
      </c>
      <c r="C129" s="9" t="s">
        <v>85</v>
      </c>
      <c r="D129" s="9" t="s">
        <v>86</v>
      </c>
      <c r="E129" s="9" t="s">
        <v>10</v>
      </c>
      <c r="F129" s="22">
        <v>450</v>
      </c>
      <c r="G129" s="22">
        <v>450</v>
      </c>
      <c r="H129" s="107">
        <v>0</v>
      </c>
      <c r="I129" s="83"/>
      <c r="J129" s="22">
        <f t="shared" si="9"/>
        <v>450</v>
      </c>
    </row>
    <row r="130" spans="1:11" ht="17" thickTop="1" thickBot="1" x14ac:dyDescent="0.25">
      <c r="A130" s="8"/>
      <c r="B130" s="11" t="s">
        <v>154</v>
      </c>
      <c r="C130" s="9" t="s">
        <v>155</v>
      </c>
      <c r="D130" s="9" t="s">
        <v>156</v>
      </c>
      <c r="E130" s="9" t="s">
        <v>148</v>
      </c>
      <c r="F130" s="22">
        <v>461.99</v>
      </c>
      <c r="G130" s="22">
        <v>461.99</v>
      </c>
      <c r="H130" s="107">
        <v>0</v>
      </c>
      <c r="I130" s="83"/>
      <c r="J130" s="22">
        <f t="shared" si="9"/>
        <v>461.99</v>
      </c>
    </row>
    <row r="131" spans="1:11" ht="17" thickTop="1" thickBot="1" x14ac:dyDescent="0.25">
      <c r="A131" s="8"/>
      <c r="B131" s="11" t="s">
        <v>146</v>
      </c>
      <c r="C131" s="9" t="s">
        <v>147</v>
      </c>
      <c r="D131" s="9" t="s">
        <v>36</v>
      </c>
      <c r="E131" s="9" t="s">
        <v>148</v>
      </c>
      <c r="F131" s="22">
        <v>895</v>
      </c>
      <c r="G131" s="22">
        <v>895</v>
      </c>
      <c r="H131" s="106">
        <v>0</v>
      </c>
      <c r="I131" s="83" t="s">
        <v>350</v>
      </c>
      <c r="J131" s="22">
        <f t="shared" si="9"/>
        <v>895</v>
      </c>
    </row>
    <row r="132" spans="1:11" ht="17" thickTop="1" thickBot="1" x14ac:dyDescent="0.25">
      <c r="A132" s="8"/>
      <c r="B132" s="11" t="s">
        <v>160</v>
      </c>
      <c r="C132" s="9" t="s">
        <v>161</v>
      </c>
      <c r="D132" s="9" t="s">
        <v>35</v>
      </c>
      <c r="E132" s="9" t="s">
        <v>148</v>
      </c>
      <c r="F132" s="22">
        <v>4546.3900000000003</v>
      </c>
      <c r="G132" s="22">
        <v>4546.3900000000003</v>
      </c>
      <c r="H132" s="107">
        <v>0</v>
      </c>
      <c r="I132" s="83"/>
      <c r="J132" s="22">
        <f t="shared" si="9"/>
        <v>4546.3900000000003</v>
      </c>
    </row>
    <row r="133" spans="1:11" ht="17" thickTop="1" thickBot="1" x14ac:dyDescent="0.25">
      <c r="A133" s="8"/>
      <c r="B133" s="11" t="s">
        <v>152</v>
      </c>
      <c r="C133" s="9" t="s">
        <v>153</v>
      </c>
      <c r="D133" s="9" t="s">
        <v>19</v>
      </c>
      <c r="E133" s="9" t="s">
        <v>148</v>
      </c>
      <c r="F133" s="22">
        <v>16000</v>
      </c>
      <c r="G133" s="22">
        <v>16000</v>
      </c>
      <c r="H133" s="107">
        <v>0</v>
      </c>
      <c r="I133" s="83" t="s">
        <v>350</v>
      </c>
      <c r="J133" s="22">
        <f t="shared" si="9"/>
        <v>16000</v>
      </c>
      <c r="K133" s="87" t="s">
        <v>312</v>
      </c>
    </row>
    <row r="134" spans="1:11" ht="17" thickTop="1" thickBot="1" x14ac:dyDescent="0.25">
      <c r="A134" s="8"/>
      <c r="B134" s="11" t="s">
        <v>162</v>
      </c>
      <c r="C134" s="9" t="s">
        <v>163</v>
      </c>
      <c r="D134" s="9" t="s">
        <v>159</v>
      </c>
      <c r="E134" s="9" t="s">
        <v>148</v>
      </c>
      <c r="F134" s="22">
        <v>250</v>
      </c>
      <c r="G134" s="22">
        <v>250</v>
      </c>
      <c r="H134" s="125">
        <v>0</v>
      </c>
      <c r="I134" s="83"/>
      <c r="J134" s="22">
        <f t="shared" si="9"/>
        <v>250</v>
      </c>
    </row>
    <row r="135" spans="1:11" ht="21" customHeight="1" thickTop="1" thickBot="1" x14ac:dyDescent="0.25">
      <c r="A135" s="13" t="s">
        <v>251</v>
      </c>
      <c r="B135" s="11" t="s">
        <v>164</v>
      </c>
      <c r="C135" s="9" t="s">
        <v>165</v>
      </c>
      <c r="D135" s="9" t="s">
        <v>166</v>
      </c>
      <c r="E135" s="9" t="s">
        <v>148</v>
      </c>
      <c r="F135" s="22">
        <v>6500</v>
      </c>
      <c r="G135" s="22">
        <v>6500</v>
      </c>
      <c r="H135" s="92">
        <v>0</v>
      </c>
      <c r="I135" s="83"/>
      <c r="J135" s="22">
        <f t="shared" si="9"/>
        <v>6500</v>
      </c>
    </row>
    <row r="136" spans="1:11" ht="17" thickTop="1" thickBot="1" x14ac:dyDescent="0.25">
      <c r="A136" s="8"/>
      <c r="B136" s="11" t="s">
        <v>169</v>
      </c>
      <c r="C136" s="9" t="s">
        <v>170</v>
      </c>
      <c r="D136" s="9" t="s">
        <v>9</v>
      </c>
      <c r="E136" s="9" t="s">
        <v>148</v>
      </c>
      <c r="F136" s="22">
        <v>80.900000000000006</v>
      </c>
      <c r="G136" s="22">
        <v>80.900000000000006</v>
      </c>
      <c r="H136" s="92">
        <v>0</v>
      </c>
      <c r="I136" s="83"/>
      <c r="J136" s="22">
        <f t="shared" si="9"/>
        <v>80.900000000000006</v>
      </c>
    </row>
    <row r="137" spans="1:11" ht="17" thickTop="1" thickBot="1" x14ac:dyDescent="0.25">
      <c r="A137" s="8">
        <v>46086</v>
      </c>
      <c r="B137" s="11" t="s">
        <v>171</v>
      </c>
      <c r="C137" s="9" t="s">
        <v>172</v>
      </c>
      <c r="D137" s="9" t="s">
        <v>47</v>
      </c>
      <c r="E137" s="9" t="s">
        <v>148</v>
      </c>
      <c r="F137" s="22">
        <v>134.18</v>
      </c>
      <c r="G137" s="22">
        <v>134.18</v>
      </c>
      <c r="H137" s="92">
        <v>0</v>
      </c>
      <c r="I137" s="83"/>
      <c r="J137" s="22">
        <f t="shared" si="9"/>
        <v>134.18</v>
      </c>
    </row>
    <row r="138" spans="1:11" ht="17" thickTop="1" thickBot="1" x14ac:dyDescent="0.25">
      <c r="A138" s="8"/>
      <c r="B138" s="9" t="s">
        <v>60</v>
      </c>
      <c r="C138" s="9" t="s">
        <v>61</v>
      </c>
      <c r="D138" s="9" t="s">
        <v>62</v>
      </c>
      <c r="E138" s="9" t="s">
        <v>10</v>
      </c>
      <c r="F138" s="22">
        <v>10000</v>
      </c>
      <c r="G138" s="22">
        <v>10000</v>
      </c>
      <c r="H138" s="92">
        <v>0</v>
      </c>
      <c r="I138" s="83"/>
      <c r="J138" s="22">
        <f t="shared" si="9"/>
        <v>10000</v>
      </c>
      <c r="K138" t="s">
        <v>217</v>
      </c>
    </row>
    <row r="139" spans="1:11" ht="17" thickTop="1" thickBot="1" x14ac:dyDescent="0.25">
      <c r="A139" s="8"/>
      <c r="B139" s="9"/>
      <c r="C139" s="9" t="s">
        <v>314</v>
      </c>
      <c r="D139" s="9" t="s">
        <v>313</v>
      </c>
      <c r="E139" s="9" t="s">
        <v>148</v>
      </c>
      <c r="F139" s="22">
        <v>2500</v>
      </c>
      <c r="G139" s="22">
        <v>2500</v>
      </c>
      <c r="H139" s="92"/>
      <c r="I139" s="83"/>
      <c r="J139" s="22">
        <f t="shared" si="9"/>
        <v>2500</v>
      </c>
    </row>
    <row r="140" spans="1:11" ht="17" thickTop="1" thickBot="1" x14ac:dyDescent="0.25">
      <c r="A140" s="8"/>
      <c r="B140" s="9"/>
      <c r="C140" s="9" t="s">
        <v>315</v>
      </c>
      <c r="D140" s="9" t="s">
        <v>9</v>
      </c>
      <c r="E140" s="9" t="s">
        <v>148</v>
      </c>
      <c r="F140" s="22">
        <v>3300</v>
      </c>
      <c r="G140" s="22">
        <v>3300</v>
      </c>
      <c r="H140" s="92"/>
      <c r="I140" s="83"/>
      <c r="J140" s="22">
        <f t="shared" si="9"/>
        <v>3300</v>
      </c>
    </row>
    <row r="141" spans="1:11" ht="17" thickTop="1" thickBot="1" x14ac:dyDescent="0.25">
      <c r="A141" s="8"/>
      <c r="B141" s="9"/>
      <c r="C141" s="9" t="s">
        <v>316</v>
      </c>
      <c r="D141" s="9" t="s">
        <v>9</v>
      </c>
      <c r="E141" s="9" t="s">
        <v>148</v>
      </c>
      <c r="F141" s="22">
        <v>1800</v>
      </c>
      <c r="G141" s="22">
        <v>1800</v>
      </c>
      <c r="H141" s="92"/>
      <c r="I141" s="83"/>
      <c r="J141" s="22">
        <f t="shared" si="9"/>
        <v>1800</v>
      </c>
    </row>
    <row r="142" spans="1:11" ht="17" thickTop="1" thickBot="1" x14ac:dyDescent="0.25">
      <c r="A142" s="8"/>
      <c r="B142" s="9"/>
      <c r="C142" s="9" t="s">
        <v>330</v>
      </c>
      <c r="D142" s="9" t="s">
        <v>385</v>
      </c>
      <c r="E142" s="9" t="s">
        <v>386</v>
      </c>
      <c r="F142" s="22">
        <v>71100.86</v>
      </c>
      <c r="G142" s="22">
        <v>71100.86</v>
      </c>
      <c r="H142" s="92">
        <v>0</v>
      </c>
      <c r="I142" s="83"/>
      <c r="J142" s="22">
        <f t="shared" si="9"/>
        <v>71100.86</v>
      </c>
      <c r="K142" s="36"/>
    </row>
    <row r="143" spans="1:11" ht="17" thickTop="1" thickBot="1" x14ac:dyDescent="0.25">
      <c r="A143" s="8"/>
      <c r="B143" s="9"/>
      <c r="C143" s="9" t="s">
        <v>330</v>
      </c>
      <c r="D143" s="153" t="s">
        <v>387</v>
      </c>
      <c r="E143" s="9" t="s">
        <v>386</v>
      </c>
      <c r="F143" s="154">
        <v>7471</v>
      </c>
      <c r="G143" s="154">
        <v>7471</v>
      </c>
      <c r="H143" s="95"/>
      <c r="I143" s="83">
        <v>46119</v>
      </c>
      <c r="J143" s="22"/>
      <c r="K143" s="36"/>
    </row>
    <row r="144" spans="1:11" ht="17" thickTop="1" thickBot="1" x14ac:dyDescent="0.25">
      <c r="A144" s="8"/>
      <c r="B144" s="9"/>
      <c r="C144" s="110" t="s">
        <v>336</v>
      </c>
      <c r="D144" s="110" t="s">
        <v>337</v>
      </c>
      <c r="E144" s="9" t="s">
        <v>10</v>
      </c>
      <c r="F144" s="149">
        <v>15000</v>
      </c>
      <c r="G144" s="149">
        <v>15000</v>
      </c>
      <c r="H144" s="113">
        <v>0</v>
      </c>
      <c r="I144" s="83"/>
      <c r="J144" s="22">
        <f t="shared" si="9"/>
        <v>15000</v>
      </c>
      <c r="K144" s="36"/>
    </row>
    <row r="145" spans="1:12" ht="17" thickTop="1" thickBot="1" x14ac:dyDescent="0.25">
      <c r="A145" s="8"/>
      <c r="B145" s="9"/>
      <c r="C145" s="110" t="s">
        <v>355</v>
      </c>
      <c r="D145" s="110"/>
      <c r="E145" s="9" t="s">
        <v>10</v>
      </c>
      <c r="F145" s="22">
        <v>10000</v>
      </c>
      <c r="G145" s="22">
        <v>10000</v>
      </c>
      <c r="H145" s="92"/>
      <c r="I145" s="83"/>
      <c r="J145" s="22">
        <v>10000</v>
      </c>
      <c r="K145" s="36"/>
    </row>
    <row r="146" spans="1:12" ht="17" thickTop="1" thickBot="1" x14ac:dyDescent="0.25">
      <c r="A146" s="8"/>
      <c r="B146" s="9"/>
      <c r="C146" s="110" t="s">
        <v>356</v>
      </c>
      <c r="D146" s="110"/>
      <c r="E146" s="17" t="s">
        <v>10</v>
      </c>
      <c r="F146" s="22">
        <v>10000</v>
      </c>
      <c r="G146" s="22">
        <v>10000</v>
      </c>
      <c r="H146" s="92"/>
      <c r="I146" s="83"/>
      <c r="J146" s="22">
        <v>10000</v>
      </c>
      <c r="K146" s="36"/>
    </row>
    <row r="147" spans="1:12" ht="17" thickTop="1" thickBot="1" x14ac:dyDescent="0.25">
      <c r="A147" s="71"/>
      <c r="B147" s="70"/>
      <c r="C147" s="138" t="s">
        <v>367</v>
      </c>
      <c r="D147" s="138" t="s">
        <v>368</v>
      </c>
      <c r="E147" s="70"/>
      <c r="F147" s="72"/>
      <c r="G147" s="72"/>
      <c r="H147" s="92"/>
      <c r="I147" s="83"/>
      <c r="J147" s="10"/>
    </row>
    <row r="148" spans="1:12" ht="17" thickTop="1" thickBot="1" x14ac:dyDescent="0.25">
      <c r="A148" s="71"/>
      <c r="B148" s="70"/>
      <c r="C148" s="139" t="s">
        <v>363</v>
      </c>
      <c r="D148" s="143" t="s">
        <v>369</v>
      </c>
      <c r="E148" s="9" t="s">
        <v>98</v>
      </c>
      <c r="F148" s="145">
        <v>4411.78</v>
      </c>
      <c r="G148" s="145">
        <v>4411.78</v>
      </c>
      <c r="H148" s="92">
        <v>0</v>
      </c>
      <c r="I148" s="83"/>
      <c r="J148" s="10">
        <f t="shared" ref="J148:J151" si="10">F148-H148</f>
        <v>4411.78</v>
      </c>
    </row>
    <row r="149" spans="1:12" ht="17" thickTop="1" thickBot="1" x14ac:dyDescent="0.25">
      <c r="A149" s="71"/>
      <c r="B149" s="70"/>
      <c r="C149" s="140" t="s">
        <v>364</v>
      </c>
      <c r="D149" s="143" t="s">
        <v>370</v>
      </c>
      <c r="E149" s="9" t="s">
        <v>98</v>
      </c>
      <c r="F149" s="145">
        <v>29286</v>
      </c>
      <c r="G149" s="145">
        <v>29286</v>
      </c>
      <c r="H149" s="92">
        <v>0</v>
      </c>
      <c r="I149" s="83"/>
      <c r="J149" s="10">
        <f t="shared" si="10"/>
        <v>29286</v>
      </c>
    </row>
    <row r="150" spans="1:12" ht="17" thickTop="1" thickBot="1" x14ac:dyDescent="0.25">
      <c r="A150" s="71"/>
      <c r="B150" s="70"/>
      <c r="C150" s="141" t="s">
        <v>365</v>
      </c>
      <c r="D150" s="143" t="s">
        <v>371</v>
      </c>
      <c r="E150" s="9" t="s">
        <v>98</v>
      </c>
      <c r="F150" s="145">
        <v>23874.400000000001</v>
      </c>
      <c r="G150" s="145">
        <v>23874.400000000001</v>
      </c>
      <c r="H150" s="92">
        <v>0</v>
      </c>
      <c r="I150" s="83"/>
      <c r="J150" s="10">
        <f t="shared" si="10"/>
        <v>23874.400000000001</v>
      </c>
    </row>
    <row r="151" spans="1:12" ht="17" thickTop="1" thickBot="1" x14ac:dyDescent="0.25">
      <c r="A151" s="71"/>
      <c r="B151" s="70"/>
      <c r="C151" s="142" t="s">
        <v>366</v>
      </c>
      <c r="D151" s="143" t="s">
        <v>372</v>
      </c>
      <c r="E151" s="9" t="s">
        <v>98</v>
      </c>
      <c r="F151" s="145">
        <v>9923.48</v>
      </c>
      <c r="G151" s="145">
        <v>9923.48</v>
      </c>
      <c r="H151" s="92">
        <v>0</v>
      </c>
      <c r="I151" s="83"/>
      <c r="J151" s="10">
        <f t="shared" si="10"/>
        <v>9923.48</v>
      </c>
    </row>
    <row r="152" spans="1:12" ht="17" thickTop="1" thickBot="1" x14ac:dyDescent="0.25">
      <c r="A152" s="8"/>
      <c r="B152" s="9"/>
      <c r="C152" s="110"/>
      <c r="D152" s="110"/>
      <c r="E152" s="17"/>
      <c r="F152" s="22"/>
      <c r="G152" s="22"/>
      <c r="H152" s="92"/>
      <c r="I152" s="83"/>
      <c r="J152" s="22"/>
      <c r="K152" s="36"/>
    </row>
    <row r="153" spans="1:12" ht="17" thickTop="1" thickBot="1" x14ac:dyDescent="0.25">
      <c r="A153" s="8"/>
      <c r="B153" s="9"/>
      <c r="C153" s="110"/>
      <c r="D153" s="110"/>
      <c r="E153" s="9"/>
      <c r="F153" s="113"/>
      <c r="G153" s="113"/>
      <c r="H153" s="113"/>
      <c r="I153" s="83"/>
      <c r="J153" s="22"/>
      <c r="K153" s="36"/>
    </row>
    <row r="154" spans="1:12" ht="17" thickTop="1" thickBot="1" x14ac:dyDescent="0.25">
      <c r="A154" s="8"/>
      <c r="B154" s="9"/>
      <c r="C154" s="110"/>
      <c r="D154" s="110"/>
      <c r="E154" s="9"/>
      <c r="F154" s="114"/>
      <c r="G154" s="114"/>
      <c r="H154" s="114"/>
      <c r="I154" s="83"/>
      <c r="J154" s="22"/>
      <c r="K154" s="36"/>
    </row>
    <row r="155" spans="1:12" ht="17" thickTop="1" thickBot="1" x14ac:dyDescent="0.25">
      <c r="A155" s="8"/>
      <c r="B155" s="9"/>
      <c r="C155" s="110"/>
      <c r="D155" s="110"/>
      <c r="E155" s="9"/>
      <c r="F155" s="113"/>
      <c r="G155" s="113"/>
      <c r="H155" s="113"/>
      <c r="I155" s="83"/>
      <c r="J155" s="22"/>
      <c r="K155" s="36"/>
    </row>
    <row r="156" spans="1:12" ht="17" thickTop="1" thickBot="1" x14ac:dyDescent="0.25">
      <c r="A156" s="8"/>
      <c r="B156" s="9"/>
      <c r="C156" s="110"/>
      <c r="D156" s="110"/>
      <c r="E156" s="9"/>
      <c r="F156" s="113"/>
      <c r="G156" s="113"/>
      <c r="H156" s="113"/>
      <c r="I156" s="83"/>
      <c r="J156" s="22"/>
      <c r="K156" s="36"/>
    </row>
    <row r="157" spans="1:12" ht="17" thickTop="1" thickBot="1" x14ac:dyDescent="0.25">
      <c r="A157" s="8"/>
      <c r="B157" s="9"/>
      <c r="C157" s="9"/>
      <c r="D157" s="9"/>
      <c r="E157" s="9"/>
      <c r="F157" s="22"/>
      <c r="G157" s="22"/>
      <c r="H157" s="92"/>
      <c r="I157" s="83"/>
      <c r="J157" s="22"/>
    </row>
    <row r="158" spans="1:12" ht="22.25" customHeight="1" thickTop="1" thickBot="1" x14ac:dyDescent="0.25">
      <c r="A158" s="3"/>
      <c r="B158" s="3"/>
      <c r="C158" s="150" t="s">
        <v>240</v>
      </c>
      <c r="D158" s="151"/>
      <c r="E158" s="151"/>
      <c r="F158" s="151"/>
      <c r="G158" s="3"/>
      <c r="H158" s="89"/>
      <c r="I158" s="80"/>
      <c r="J158" s="3"/>
    </row>
    <row r="159" spans="1:12" ht="17" thickTop="1" thickBot="1" x14ac:dyDescent="0.25">
      <c r="A159" s="6"/>
      <c r="B159" s="6"/>
      <c r="C159" s="6"/>
      <c r="D159" s="6"/>
      <c r="E159" s="6"/>
      <c r="F159" s="12"/>
      <c r="G159" s="12"/>
      <c r="H159" s="93"/>
      <c r="I159" s="79"/>
      <c r="J159" s="12"/>
    </row>
    <row r="160" spans="1:12" ht="41" thickTop="1" thickBot="1" x14ac:dyDescent="0.25">
      <c r="A160" s="4" t="s">
        <v>0</v>
      </c>
      <c r="B160" s="5" t="s">
        <v>1</v>
      </c>
      <c r="C160" s="5" t="s">
        <v>2</v>
      </c>
      <c r="D160" s="5" t="s">
        <v>3</v>
      </c>
      <c r="E160" s="5" t="s">
        <v>4</v>
      </c>
      <c r="F160" s="5" t="s">
        <v>300</v>
      </c>
      <c r="G160" s="5" t="s">
        <v>301</v>
      </c>
      <c r="H160" s="90" t="s">
        <v>323</v>
      </c>
      <c r="I160" s="81" t="s">
        <v>317</v>
      </c>
      <c r="J160" s="20" t="s">
        <v>322</v>
      </c>
      <c r="L160" s="90" t="s">
        <v>295</v>
      </c>
    </row>
    <row r="161" spans="1:12" ht="17" thickTop="1" thickBot="1" x14ac:dyDescent="0.25">
      <c r="A161" s="4"/>
      <c r="B161" s="5"/>
      <c r="C161" s="5"/>
      <c r="D161" s="5"/>
      <c r="E161" s="99"/>
      <c r="F161" s="99"/>
      <c r="G161" s="99"/>
      <c r="H161" s="100"/>
      <c r="I161" s="81"/>
      <c r="J161" s="20">
        <f>SUM(J163:J221)</f>
        <v>3227939.03</v>
      </c>
      <c r="L161" s="100"/>
    </row>
    <row r="162" spans="1:12" ht="17" thickTop="1" thickBot="1" x14ac:dyDescent="0.25">
      <c r="A162" s="4"/>
      <c r="B162" s="5"/>
      <c r="C162" s="5"/>
      <c r="D162" s="5"/>
      <c r="E162" s="99"/>
      <c r="F162" s="99"/>
      <c r="G162" s="99"/>
      <c r="H162" s="100"/>
      <c r="I162" s="81"/>
      <c r="L162" s="100"/>
    </row>
    <row r="163" spans="1:12" ht="28" thickTop="1" thickBot="1" x14ac:dyDescent="0.25">
      <c r="A163" s="38">
        <v>46112</v>
      </c>
      <c r="B163" s="9" t="s">
        <v>60</v>
      </c>
      <c r="C163" s="9" t="s">
        <v>61</v>
      </c>
      <c r="D163" s="9" t="s">
        <v>144</v>
      </c>
      <c r="E163" s="40" t="s">
        <v>174</v>
      </c>
      <c r="F163" s="52">
        <v>25600</v>
      </c>
      <c r="G163" s="52">
        <v>19712</v>
      </c>
      <c r="H163" s="108">
        <v>0</v>
      </c>
      <c r="I163" s="83"/>
      <c r="J163" s="12">
        <f t="shared" ref="J163:J194" si="11">G163-H163</f>
        <v>19712</v>
      </c>
      <c r="L163" s="98">
        <v>0.23</v>
      </c>
    </row>
    <row r="164" spans="1:12" ht="28" thickTop="1" thickBot="1" x14ac:dyDescent="0.25">
      <c r="A164" s="38">
        <v>46112</v>
      </c>
      <c r="B164" s="9" t="s">
        <v>60</v>
      </c>
      <c r="C164" s="9" t="s">
        <v>61</v>
      </c>
      <c r="D164" s="9" t="s">
        <v>144</v>
      </c>
      <c r="E164" s="40" t="s">
        <v>252</v>
      </c>
      <c r="F164" s="52">
        <v>15050</v>
      </c>
      <c r="G164" s="52">
        <v>11827.2</v>
      </c>
      <c r="H164" s="108"/>
      <c r="I164" s="83"/>
      <c r="J164" s="12">
        <f t="shared" si="11"/>
        <v>11827.2</v>
      </c>
      <c r="L164" s="98">
        <v>0.2117</v>
      </c>
    </row>
    <row r="165" spans="1:12" ht="28" thickTop="1" thickBot="1" x14ac:dyDescent="0.25">
      <c r="A165" s="38">
        <v>46112</v>
      </c>
      <c r="B165" s="9" t="s">
        <v>157</v>
      </c>
      <c r="C165" s="9" t="s">
        <v>61</v>
      </c>
      <c r="D165" s="9" t="s">
        <v>144</v>
      </c>
      <c r="E165" s="41" t="s">
        <v>253</v>
      </c>
      <c r="F165" s="52">
        <v>5450</v>
      </c>
      <c r="G165" s="52">
        <v>4266.24</v>
      </c>
      <c r="H165" s="108"/>
      <c r="I165" s="83"/>
      <c r="J165" s="12">
        <f t="shared" si="11"/>
        <v>4266.24</v>
      </c>
      <c r="L165" s="98">
        <v>0.21779999999999999</v>
      </c>
    </row>
    <row r="166" spans="1:12" ht="28" thickTop="1" thickBot="1" x14ac:dyDescent="0.25">
      <c r="A166" s="38">
        <v>46112</v>
      </c>
      <c r="B166" s="9" t="s">
        <v>60</v>
      </c>
      <c r="C166" s="9" t="s">
        <v>61</v>
      </c>
      <c r="D166" s="9" t="s">
        <v>144</v>
      </c>
      <c r="E166" s="40" t="s">
        <v>254</v>
      </c>
      <c r="F166" s="52">
        <v>2700</v>
      </c>
      <c r="G166" s="52">
        <v>2112</v>
      </c>
      <c r="H166" s="108"/>
      <c r="I166" s="83"/>
      <c r="J166" s="12">
        <f t="shared" si="11"/>
        <v>2112</v>
      </c>
      <c r="L166" s="98">
        <v>0.2135</v>
      </c>
    </row>
    <row r="167" spans="1:12" ht="28" thickTop="1" thickBot="1" x14ac:dyDescent="0.25">
      <c r="A167" s="38">
        <v>46112</v>
      </c>
      <c r="B167" s="9" t="s">
        <v>60</v>
      </c>
      <c r="C167" s="9" t="s">
        <v>61</v>
      </c>
      <c r="D167" s="9" t="s">
        <v>144</v>
      </c>
      <c r="E167" s="41" t="s">
        <v>255</v>
      </c>
      <c r="F167" s="52">
        <v>20516.669999999998</v>
      </c>
      <c r="G167" s="52">
        <v>16065.28</v>
      </c>
      <c r="H167" s="108"/>
      <c r="I167" s="83"/>
      <c r="J167" s="12">
        <f t="shared" si="11"/>
        <v>16065.28</v>
      </c>
      <c r="L167" s="98">
        <v>0.2162</v>
      </c>
    </row>
    <row r="168" spans="1:12" ht="28" thickTop="1" thickBot="1" x14ac:dyDescent="0.25">
      <c r="A168" s="38">
        <v>46112</v>
      </c>
      <c r="B168" s="9" t="s">
        <v>60</v>
      </c>
      <c r="C168" s="11" t="s">
        <v>61</v>
      </c>
      <c r="D168" s="9" t="s">
        <v>144</v>
      </c>
      <c r="E168" s="40" t="s">
        <v>256</v>
      </c>
      <c r="F168" s="52">
        <v>192745.03</v>
      </c>
      <c r="G168" s="52">
        <v>139860.57</v>
      </c>
      <c r="H168" s="108"/>
      <c r="I168" s="83"/>
      <c r="J168" s="12">
        <f t="shared" si="11"/>
        <v>139860.57</v>
      </c>
      <c r="L168" s="98">
        <v>0.33679999999999999</v>
      </c>
    </row>
    <row r="169" spans="1:12" ht="28" thickTop="1" thickBot="1" x14ac:dyDescent="0.25">
      <c r="A169" s="38">
        <v>46112</v>
      </c>
      <c r="B169" s="9" t="s">
        <v>60</v>
      </c>
      <c r="C169" s="9" t="s">
        <v>61</v>
      </c>
      <c r="D169" s="9" t="s">
        <v>144</v>
      </c>
      <c r="E169" s="40" t="s">
        <v>257</v>
      </c>
      <c r="F169" s="52">
        <v>90468.9</v>
      </c>
      <c r="G169" s="52">
        <v>63572.959999999999</v>
      </c>
      <c r="H169" s="108">
        <v>0</v>
      </c>
      <c r="I169" s="83"/>
      <c r="J169" s="12">
        <f t="shared" si="11"/>
        <v>63572.959999999999</v>
      </c>
      <c r="L169" s="98">
        <v>0.29249999999999998</v>
      </c>
    </row>
    <row r="170" spans="1:12" ht="28" thickTop="1" thickBot="1" x14ac:dyDescent="0.25">
      <c r="A170" s="38">
        <v>46112</v>
      </c>
      <c r="B170" s="9" t="s">
        <v>60</v>
      </c>
      <c r="C170" s="9" t="s">
        <v>61</v>
      </c>
      <c r="D170" s="9" t="s">
        <v>144</v>
      </c>
      <c r="E170" s="40" t="s">
        <v>258</v>
      </c>
      <c r="F170" s="52">
        <v>31266.66</v>
      </c>
      <c r="G170" s="52">
        <v>28140</v>
      </c>
      <c r="H170" s="108"/>
      <c r="I170" s="83"/>
      <c r="J170" s="12">
        <f t="shared" si="11"/>
        <v>28140</v>
      </c>
      <c r="L170" s="98">
        <v>0.1</v>
      </c>
    </row>
    <row r="171" spans="1:12" ht="28" thickTop="1" thickBot="1" x14ac:dyDescent="0.25">
      <c r="A171" s="38">
        <v>46112</v>
      </c>
      <c r="B171" s="9" t="s">
        <v>60</v>
      </c>
      <c r="C171" s="9" t="s">
        <v>61</v>
      </c>
      <c r="D171" s="9" t="s">
        <v>144</v>
      </c>
      <c r="E171" s="41" t="s">
        <v>259</v>
      </c>
      <c r="F171" s="52">
        <v>9000</v>
      </c>
      <c r="G171" s="52">
        <v>6600</v>
      </c>
      <c r="H171" s="108">
        <v>0</v>
      </c>
      <c r="I171" s="83"/>
      <c r="J171" s="12">
        <f t="shared" si="11"/>
        <v>6600</v>
      </c>
      <c r="L171" s="98">
        <v>0.26400000000000001</v>
      </c>
    </row>
    <row r="172" spans="1:12" ht="28" thickTop="1" thickBot="1" x14ac:dyDescent="0.25">
      <c r="A172" s="38">
        <v>46112</v>
      </c>
      <c r="B172" s="9" t="s">
        <v>60</v>
      </c>
      <c r="C172" s="9" t="s">
        <v>61</v>
      </c>
      <c r="D172" s="9" t="s">
        <v>144</v>
      </c>
      <c r="E172" s="40" t="s">
        <v>260</v>
      </c>
      <c r="F172" s="52">
        <v>2520</v>
      </c>
      <c r="G172" s="52">
        <v>2112</v>
      </c>
      <c r="H172" s="108">
        <v>2112</v>
      </c>
      <c r="I172" s="83"/>
      <c r="J172" s="12">
        <f t="shared" si="11"/>
        <v>0</v>
      </c>
      <c r="L172" s="98">
        <v>0.1759</v>
      </c>
    </row>
    <row r="173" spans="1:12" ht="28" thickTop="1" thickBot="1" x14ac:dyDescent="0.25">
      <c r="A173" s="38">
        <v>46112</v>
      </c>
      <c r="B173" s="9" t="s">
        <v>60</v>
      </c>
      <c r="C173" s="9" t="s">
        <v>61</v>
      </c>
      <c r="D173" s="9" t="s">
        <v>144</v>
      </c>
      <c r="E173" s="40" t="s">
        <v>261</v>
      </c>
      <c r="F173" s="52">
        <v>15756.48</v>
      </c>
      <c r="G173" s="52">
        <v>9504</v>
      </c>
      <c r="H173" s="108"/>
      <c r="I173" s="83"/>
      <c r="J173" s="12">
        <f t="shared" si="11"/>
        <v>9504</v>
      </c>
      <c r="L173" s="98">
        <v>0.39489999999999997</v>
      </c>
    </row>
    <row r="174" spans="1:12" ht="28" thickTop="1" thickBot="1" x14ac:dyDescent="0.25">
      <c r="A174" s="38">
        <v>46112</v>
      </c>
      <c r="B174" s="9" t="s">
        <v>60</v>
      </c>
      <c r="C174" s="9" t="s">
        <v>61</v>
      </c>
      <c r="D174" s="9" t="s">
        <v>144</v>
      </c>
      <c r="E174" s="40" t="s">
        <v>178</v>
      </c>
      <c r="F174" s="52">
        <v>14400</v>
      </c>
      <c r="G174" s="52">
        <v>10032</v>
      </c>
      <c r="H174" s="109">
        <v>0</v>
      </c>
      <c r="I174" s="83"/>
      <c r="J174" s="12">
        <f t="shared" si="11"/>
        <v>10032</v>
      </c>
      <c r="L174" s="98">
        <v>0.30330000000000001</v>
      </c>
    </row>
    <row r="175" spans="1:12" ht="28" thickTop="1" thickBot="1" x14ac:dyDescent="0.25">
      <c r="A175" s="38">
        <v>46112</v>
      </c>
      <c r="B175" s="9" t="s">
        <v>60</v>
      </c>
      <c r="C175" s="9" t="s">
        <v>61</v>
      </c>
      <c r="D175" s="9" t="s">
        <v>144</v>
      </c>
      <c r="E175" s="40" t="s">
        <v>262</v>
      </c>
      <c r="F175" s="52">
        <v>9800</v>
      </c>
      <c r="G175" s="52">
        <v>6860</v>
      </c>
      <c r="H175" s="108"/>
      <c r="I175" s="83"/>
      <c r="J175" s="12">
        <f t="shared" si="11"/>
        <v>6860</v>
      </c>
      <c r="L175" s="98">
        <v>0.19919999999999999</v>
      </c>
    </row>
    <row r="176" spans="1:12" ht="28" thickTop="1" thickBot="1" x14ac:dyDescent="0.25">
      <c r="A176" s="38">
        <v>46112</v>
      </c>
      <c r="B176" s="9" t="s">
        <v>60</v>
      </c>
      <c r="C176" s="9" t="s">
        <v>61</v>
      </c>
      <c r="D176" s="9" t="s">
        <v>144</v>
      </c>
      <c r="E176" s="40" t="s">
        <v>181</v>
      </c>
      <c r="F176" s="52">
        <v>13220.21</v>
      </c>
      <c r="G176" s="52">
        <v>8560</v>
      </c>
      <c r="H176" s="108">
        <v>1200</v>
      </c>
      <c r="I176" s="83"/>
      <c r="J176" s="12">
        <f t="shared" si="11"/>
        <v>7360</v>
      </c>
      <c r="L176" s="98">
        <v>0.35570000000000002</v>
      </c>
    </row>
    <row r="177" spans="1:12" ht="28" thickTop="1" thickBot="1" x14ac:dyDescent="0.25">
      <c r="A177" s="38">
        <v>46112</v>
      </c>
      <c r="B177" s="9" t="s">
        <v>60</v>
      </c>
      <c r="C177" s="9" t="s">
        <v>61</v>
      </c>
      <c r="D177" s="9" t="s">
        <v>144</v>
      </c>
      <c r="E177" s="41" t="s">
        <v>182</v>
      </c>
      <c r="F177" s="52">
        <v>95447.76</v>
      </c>
      <c r="G177" s="52">
        <v>70000</v>
      </c>
      <c r="H177" s="108">
        <v>0</v>
      </c>
      <c r="I177" s="83"/>
      <c r="J177" s="12">
        <f t="shared" si="11"/>
        <v>70000</v>
      </c>
      <c r="L177" s="98">
        <v>0.26690000000000003</v>
      </c>
    </row>
    <row r="178" spans="1:12" ht="28" thickTop="1" thickBot="1" x14ac:dyDescent="0.25">
      <c r="A178" s="38">
        <v>46112</v>
      </c>
      <c r="B178" s="9" t="s">
        <v>60</v>
      </c>
      <c r="C178" s="9" t="s">
        <v>61</v>
      </c>
      <c r="D178" s="9" t="s">
        <v>144</v>
      </c>
      <c r="E178" s="129" t="s">
        <v>183</v>
      </c>
      <c r="F178" s="130">
        <v>0</v>
      </c>
      <c r="G178" s="130">
        <v>0</v>
      </c>
      <c r="H178" s="131">
        <v>0</v>
      </c>
      <c r="I178" s="132" t="s">
        <v>357</v>
      </c>
      <c r="J178" s="133">
        <f t="shared" si="11"/>
        <v>0</v>
      </c>
      <c r="L178" s="98">
        <v>0.35499999999999998</v>
      </c>
    </row>
    <row r="179" spans="1:12" ht="28" thickTop="1" thickBot="1" x14ac:dyDescent="0.25">
      <c r="A179" s="38">
        <v>46112</v>
      </c>
      <c r="B179" s="9" t="s">
        <v>60</v>
      </c>
      <c r="C179" s="9" t="s">
        <v>61</v>
      </c>
      <c r="D179" s="9" t="s">
        <v>144</v>
      </c>
      <c r="E179" s="40" t="s">
        <v>263</v>
      </c>
      <c r="F179" s="52">
        <v>21521.94</v>
      </c>
      <c r="G179" s="52">
        <v>15200</v>
      </c>
      <c r="H179" s="108">
        <v>0</v>
      </c>
      <c r="I179" s="83"/>
      <c r="J179" s="12">
        <f t="shared" si="11"/>
        <v>15200</v>
      </c>
      <c r="L179" s="98">
        <v>0.29380000000000001</v>
      </c>
    </row>
    <row r="180" spans="1:12" ht="28" thickTop="1" thickBot="1" x14ac:dyDescent="0.25">
      <c r="A180" s="38">
        <v>46112</v>
      </c>
      <c r="B180" s="9" t="s">
        <v>60</v>
      </c>
      <c r="C180" s="9" t="s">
        <v>61</v>
      </c>
      <c r="D180" s="9" t="s">
        <v>144</v>
      </c>
      <c r="E180" s="42" t="s">
        <v>184</v>
      </c>
      <c r="F180" s="52">
        <v>349799.94</v>
      </c>
      <c r="G180" s="52">
        <v>281480</v>
      </c>
      <c r="H180" s="108"/>
      <c r="I180" s="83"/>
      <c r="J180" s="12">
        <f t="shared" si="11"/>
        <v>281480</v>
      </c>
      <c r="L180" s="98">
        <v>0.1943</v>
      </c>
    </row>
    <row r="181" spans="1:12" ht="28" thickTop="1" thickBot="1" x14ac:dyDescent="0.25">
      <c r="A181" s="38">
        <v>46112</v>
      </c>
      <c r="B181" s="9" t="s">
        <v>60</v>
      </c>
      <c r="C181" s="9" t="s">
        <v>61</v>
      </c>
      <c r="D181" s="9" t="s">
        <v>144</v>
      </c>
      <c r="E181" s="40" t="s">
        <v>264</v>
      </c>
      <c r="F181" s="52">
        <v>8568.7800000000007</v>
      </c>
      <c r="G181" s="52">
        <v>6580</v>
      </c>
      <c r="H181" s="108"/>
      <c r="I181" s="83"/>
      <c r="J181" s="12">
        <f t="shared" si="11"/>
        <v>6580</v>
      </c>
      <c r="L181" s="98">
        <v>0.19639999999999999</v>
      </c>
    </row>
    <row r="182" spans="1:12" ht="28" thickTop="1" thickBot="1" x14ac:dyDescent="0.25">
      <c r="A182" s="38">
        <v>46112</v>
      </c>
      <c r="B182" s="9" t="s">
        <v>60</v>
      </c>
      <c r="C182" s="9" t="s">
        <v>61</v>
      </c>
      <c r="D182" s="9" t="s">
        <v>144</v>
      </c>
      <c r="E182" s="43" t="s">
        <v>265</v>
      </c>
      <c r="F182" s="52">
        <v>22740.9</v>
      </c>
      <c r="G182" s="52">
        <v>19110</v>
      </c>
      <c r="H182" s="108"/>
      <c r="I182" s="83"/>
      <c r="J182" s="12">
        <f t="shared" si="11"/>
        <v>19110</v>
      </c>
      <c r="L182" s="98">
        <v>0.15970000000000001</v>
      </c>
    </row>
    <row r="183" spans="1:12" ht="28" thickTop="1" thickBot="1" x14ac:dyDescent="0.25">
      <c r="A183" s="38">
        <v>46112</v>
      </c>
      <c r="B183" s="9" t="s">
        <v>60</v>
      </c>
      <c r="C183" s="9" t="s">
        <v>61</v>
      </c>
      <c r="D183" s="9" t="s">
        <v>144</v>
      </c>
      <c r="E183" s="43" t="s">
        <v>266</v>
      </c>
      <c r="F183" s="52">
        <v>7200</v>
      </c>
      <c r="G183" s="52">
        <v>5760</v>
      </c>
      <c r="H183" s="108"/>
      <c r="I183" s="83"/>
      <c r="J183" s="12">
        <f t="shared" si="11"/>
        <v>5760</v>
      </c>
      <c r="L183" s="98">
        <v>0.2</v>
      </c>
    </row>
    <row r="184" spans="1:12" ht="28" thickTop="1" thickBot="1" x14ac:dyDescent="0.25">
      <c r="A184" s="38">
        <v>46112</v>
      </c>
      <c r="B184" s="9" t="s">
        <v>60</v>
      </c>
      <c r="C184" s="9" t="s">
        <v>61</v>
      </c>
      <c r="D184" s="9" t="s">
        <v>144</v>
      </c>
      <c r="E184" s="126" t="s">
        <v>267</v>
      </c>
      <c r="F184" s="75">
        <v>223222.75</v>
      </c>
      <c r="G184" s="75">
        <v>148968.57</v>
      </c>
      <c r="H184" s="127">
        <v>5008.57</v>
      </c>
      <c r="I184" s="83"/>
      <c r="J184" s="12">
        <f t="shared" si="11"/>
        <v>143960</v>
      </c>
      <c r="L184" s="128">
        <v>0.17519999999999999</v>
      </c>
    </row>
    <row r="185" spans="1:12" ht="28" thickTop="1" thickBot="1" x14ac:dyDescent="0.25">
      <c r="A185" s="38">
        <v>46112</v>
      </c>
      <c r="B185" s="9" t="s">
        <v>60</v>
      </c>
      <c r="C185" s="9" t="s">
        <v>61</v>
      </c>
      <c r="D185" s="9" t="s">
        <v>144</v>
      </c>
      <c r="E185" s="43" t="s">
        <v>268</v>
      </c>
      <c r="F185" s="52">
        <v>1447.2</v>
      </c>
      <c r="G185" s="52">
        <v>1003.2</v>
      </c>
      <c r="H185" s="108">
        <v>1003.2</v>
      </c>
      <c r="I185" s="83"/>
      <c r="J185" s="12">
        <f t="shared" si="11"/>
        <v>0</v>
      </c>
      <c r="L185" s="98">
        <v>0.27</v>
      </c>
    </row>
    <row r="186" spans="1:12" ht="28" thickTop="1" thickBot="1" x14ac:dyDescent="0.25">
      <c r="A186" s="38">
        <v>46112</v>
      </c>
      <c r="B186" s="9" t="s">
        <v>60</v>
      </c>
      <c r="C186" s="9" t="s">
        <v>61</v>
      </c>
      <c r="D186" s="9" t="s">
        <v>144</v>
      </c>
      <c r="E186" s="43" t="s">
        <v>269</v>
      </c>
      <c r="F186" s="52">
        <v>8864.49</v>
      </c>
      <c r="G186" s="52">
        <v>6859.44</v>
      </c>
      <c r="H186" s="108"/>
      <c r="I186" s="83"/>
      <c r="J186" s="12">
        <f t="shared" si="11"/>
        <v>6859.44</v>
      </c>
      <c r="L186" s="98">
        <v>0.22620000000000001</v>
      </c>
    </row>
    <row r="187" spans="1:12" ht="28" thickTop="1" thickBot="1" x14ac:dyDescent="0.25">
      <c r="A187" s="38">
        <v>46112</v>
      </c>
      <c r="B187" s="9" t="s">
        <v>60</v>
      </c>
      <c r="C187" s="9" t="s">
        <v>61</v>
      </c>
      <c r="D187" s="9" t="s">
        <v>144</v>
      </c>
      <c r="E187" s="43" t="s">
        <v>270</v>
      </c>
      <c r="F187" s="52">
        <v>16236.16</v>
      </c>
      <c r="G187" s="52">
        <v>12880</v>
      </c>
      <c r="H187" s="108">
        <v>0</v>
      </c>
      <c r="I187" s="83"/>
      <c r="J187" s="12">
        <f t="shared" si="11"/>
        <v>12880</v>
      </c>
      <c r="L187" s="98">
        <v>0.20669999999999999</v>
      </c>
    </row>
    <row r="188" spans="1:12" ht="28" thickTop="1" thickBot="1" x14ac:dyDescent="0.25">
      <c r="A188" s="38">
        <v>46112</v>
      </c>
      <c r="B188" s="9" t="s">
        <v>60</v>
      </c>
      <c r="C188" s="9" t="s">
        <v>61</v>
      </c>
      <c r="D188" s="9" t="s">
        <v>144</v>
      </c>
      <c r="E188" s="43" t="s">
        <v>177</v>
      </c>
      <c r="F188" s="52">
        <v>31700</v>
      </c>
      <c r="G188" s="52">
        <v>23700</v>
      </c>
      <c r="H188" s="108">
        <v>0</v>
      </c>
      <c r="I188" s="83"/>
      <c r="J188" s="12">
        <f t="shared" si="11"/>
        <v>23700</v>
      </c>
      <c r="L188" s="98">
        <v>0.3649</v>
      </c>
    </row>
    <row r="189" spans="1:12" ht="28" thickTop="1" thickBot="1" x14ac:dyDescent="0.25">
      <c r="A189" s="38">
        <v>46112</v>
      </c>
      <c r="B189" s="9" t="s">
        <v>60</v>
      </c>
      <c r="C189" s="9" t="s">
        <v>61</v>
      </c>
      <c r="D189" s="9" t="s">
        <v>144</v>
      </c>
      <c r="E189" s="43" t="s">
        <v>271</v>
      </c>
      <c r="F189" s="52">
        <v>10987.69</v>
      </c>
      <c r="G189" s="52">
        <v>7400</v>
      </c>
      <c r="H189" s="108"/>
      <c r="I189" s="83"/>
      <c r="J189" s="12">
        <f t="shared" si="11"/>
        <v>7400</v>
      </c>
      <c r="L189" s="98">
        <v>0.33050000000000002</v>
      </c>
    </row>
    <row r="190" spans="1:12" ht="28" thickTop="1" thickBot="1" x14ac:dyDescent="0.25">
      <c r="A190" s="38">
        <v>46112</v>
      </c>
      <c r="B190" s="9" t="s">
        <v>60</v>
      </c>
      <c r="C190" s="9" t="s">
        <v>61</v>
      </c>
      <c r="D190" s="9" t="s">
        <v>144</v>
      </c>
      <c r="E190" s="44" t="s">
        <v>272</v>
      </c>
      <c r="F190" s="54">
        <v>325828.2</v>
      </c>
      <c r="G190" s="54">
        <v>256335</v>
      </c>
      <c r="H190" s="108"/>
      <c r="I190" s="83"/>
      <c r="J190" s="12">
        <f t="shared" si="11"/>
        <v>256335</v>
      </c>
      <c r="L190" s="98">
        <v>0.18360000000000001</v>
      </c>
    </row>
    <row r="191" spans="1:12" ht="28" thickTop="1" thickBot="1" x14ac:dyDescent="0.25">
      <c r="A191" s="38">
        <v>46112</v>
      </c>
      <c r="B191" s="9" t="s">
        <v>60</v>
      </c>
      <c r="C191" s="9" t="s">
        <v>61</v>
      </c>
      <c r="D191" s="9" t="s">
        <v>144</v>
      </c>
      <c r="E191" s="45" t="s">
        <v>273</v>
      </c>
      <c r="F191" s="55">
        <v>0</v>
      </c>
      <c r="G191" s="55">
        <v>0</v>
      </c>
      <c r="H191" s="108"/>
      <c r="I191" s="83"/>
      <c r="J191" s="12">
        <f t="shared" si="11"/>
        <v>0</v>
      </c>
      <c r="L191" s="98">
        <v>0</v>
      </c>
    </row>
    <row r="192" spans="1:12" ht="28" thickTop="1" thickBot="1" x14ac:dyDescent="0.25">
      <c r="A192" s="38">
        <v>46112</v>
      </c>
      <c r="B192" s="9" t="s">
        <v>60</v>
      </c>
      <c r="C192" s="9" t="s">
        <v>61</v>
      </c>
      <c r="D192" s="9" t="s">
        <v>144</v>
      </c>
      <c r="E192" s="43" t="s">
        <v>274</v>
      </c>
      <c r="F192" s="52">
        <v>15052.5</v>
      </c>
      <c r="G192" s="52">
        <v>12800</v>
      </c>
      <c r="H192" s="108"/>
      <c r="I192" s="83"/>
      <c r="J192" s="12">
        <f t="shared" si="11"/>
        <v>12800</v>
      </c>
      <c r="L192" s="98">
        <v>0.14960000000000001</v>
      </c>
    </row>
    <row r="193" spans="1:12" ht="28" thickTop="1" thickBot="1" x14ac:dyDescent="0.25">
      <c r="A193" s="38">
        <v>46112</v>
      </c>
      <c r="B193" s="9" t="s">
        <v>60</v>
      </c>
      <c r="C193" s="9" t="s">
        <v>61</v>
      </c>
      <c r="D193" s="9" t="s">
        <v>144</v>
      </c>
      <c r="E193" s="46" t="s">
        <v>175</v>
      </c>
      <c r="F193" s="56">
        <v>0</v>
      </c>
      <c r="G193" s="56">
        <v>0</v>
      </c>
      <c r="H193" s="108"/>
      <c r="I193" s="83"/>
      <c r="J193" s="12">
        <f t="shared" si="11"/>
        <v>0</v>
      </c>
      <c r="L193" s="98">
        <v>0</v>
      </c>
    </row>
    <row r="194" spans="1:12" ht="28" thickTop="1" thickBot="1" x14ac:dyDescent="0.25">
      <c r="A194" s="38">
        <v>46112</v>
      </c>
      <c r="B194" s="9" t="s">
        <v>60</v>
      </c>
      <c r="C194" s="9" t="s">
        <v>61</v>
      </c>
      <c r="D194" s="9" t="s">
        <v>144</v>
      </c>
      <c r="E194" s="47" t="s">
        <v>275</v>
      </c>
      <c r="F194" s="52">
        <v>6336</v>
      </c>
      <c r="G194" s="52">
        <v>5400</v>
      </c>
      <c r="H194" s="108">
        <v>0</v>
      </c>
      <c r="I194" s="83"/>
      <c r="J194" s="12">
        <f t="shared" si="11"/>
        <v>5400</v>
      </c>
      <c r="L194" s="98">
        <v>0.1477</v>
      </c>
    </row>
    <row r="195" spans="1:12" ht="28" thickTop="1" thickBot="1" x14ac:dyDescent="0.25">
      <c r="A195" s="38">
        <v>46112</v>
      </c>
      <c r="B195" s="9" t="s">
        <v>60</v>
      </c>
      <c r="C195" s="9" t="s">
        <v>61</v>
      </c>
      <c r="D195" s="9" t="s">
        <v>144</v>
      </c>
      <c r="E195" s="43" t="s">
        <v>276</v>
      </c>
      <c r="F195" s="52">
        <v>68900</v>
      </c>
      <c r="G195" s="52">
        <v>51763</v>
      </c>
      <c r="H195" s="108">
        <v>0</v>
      </c>
      <c r="I195" s="83"/>
      <c r="J195" s="12">
        <f t="shared" ref="J195:J221" si="12">G195-H195</f>
        <v>51763</v>
      </c>
      <c r="L195" s="98">
        <v>0.39360000000000001</v>
      </c>
    </row>
    <row r="196" spans="1:12" ht="28" thickTop="1" thickBot="1" x14ac:dyDescent="0.25">
      <c r="A196" s="38">
        <v>46112</v>
      </c>
      <c r="B196" s="9" t="s">
        <v>60</v>
      </c>
      <c r="C196" s="9" t="s">
        <v>61</v>
      </c>
      <c r="D196" s="9" t="s">
        <v>144</v>
      </c>
      <c r="E196" s="47" t="s">
        <v>277</v>
      </c>
      <c r="F196" s="52">
        <v>204987.44</v>
      </c>
      <c r="G196" s="52">
        <v>148920</v>
      </c>
      <c r="H196" s="108">
        <v>0</v>
      </c>
      <c r="I196" s="83"/>
      <c r="J196" s="12">
        <f t="shared" si="12"/>
        <v>148920</v>
      </c>
      <c r="L196" s="98">
        <v>0.27379999999999999</v>
      </c>
    </row>
    <row r="197" spans="1:12" ht="28" thickTop="1" thickBot="1" x14ac:dyDescent="0.25">
      <c r="A197" s="38">
        <v>46112</v>
      </c>
      <c r="B197" s="9" t="s">
        <v>60</v>
      </c>
      <c r="C197" s="9" t="s">
        <v>61</v>
      </c>
      <c r="D197" s="9" t="s">
        <v>144</v>
      </c>
      <c r="E197" s="47" t="s">
        <v>278</v>
      </c>
      <c r="F197" s="52">
        <v>35594.400000000001</v>
      </c>
      <c r="G197" s="52">
        <v>26097.5</v>
      </c>
      <c r="H197" s="108"/>
      <c r="I197" s="83"/>
      <c r="J197" s="12">
        <f t="shared" si="12"/>
        <v>26097.5</v>
      </c>
      <c r="L197" s="98">
        <v>0.24460000000000001</v>
      </c>
    </row>
    <row r="198" spans="1:12" ht="28" thickTop="1" thickBot="1" x14ac:dyDescent="0.25">
      <c r="A198" s="38">
        <v>46112</v>
      </c>
      <c r="B198" s="9" t="s">
        <v>60</v>
      </c>
      <c r="C198" s="9" t="s">
        <v>61</v>
      </c>
      <c r="D198" s="9" t="s">
        <v>144</v>
      </c>
      <c r="E198" s="47" t="s">
        <v>176</v>
      </c>
      <c r="F198" s="52">
        <v>6069.31</v>
      </c>
      <c r="G198" s="52">
        <v>4320</v>
      </c>
      <c r="H198" s="108"/>
      <c r="I198" s="83"/>
      <c r="J198" s="12">
        <f t="shared" si="12"/>
        <v>4320</v>
      </c>
      <c r="L198" s="98">
        <v>0.28820000000000001</v>
      </c>
    </row>
    <row r="199" spans="1:12" ht="28" thickTop="1" thickBot="1" x14ac:dyDescent="0.25">
      <c r="A199" s="38">
        <v>46112</v>
      </c>
      <c r="B199" s="9" t="s">
        <v>60</v>
      </c>
      <c r="C199" s="9" t="s">
        <v>61</v>
      </c>
      <c r="D199" s="9" t="s">
        <v>144</v>
      </c>
      <c r="E199" s="47" t="s">
        <v>145</v>
      </c>
      <c r="F199" s="52">
        <v>4860</v>
      </c>
      <c r="G199" s="52">
        <v>3480</v>
      </c>
      <c r="H199" s="108">
        <v>0</v>
      </c>
      <c r="I199" s="83"/>
      <c r="J199" s="12">
        <f t="shared" si="12"/>
        <v>3480</v>
      </c>
      <c r="L199" s="98">
        <v>0.27160000000000001</v>
      </c>
    </row>
    <row r="200" spans="1:12" ht="28" thickTop="1" thickBot="1" x14ac:dyDescent="0.25">
      <c r="A200" s="38">
        <v>46112</v>
      </c>
      <c r="B200" s="9" t="s">
        <v>60</v>
      </c>
      <c r="C200" s="9" t="s">
        <v>61</v>
      </c>
      <c r="D200" s="9" t="s">
        <v>144</v>
      </c>
      <c r="E200" s="47" t="s">
        <v>279</v>
      </c>
      <c r="F200" s="52">
        <v>2595.96</v>
      </c>
      <c r="G200" s="52">
        <v>2025.18</v>
      </c>
      <c r="H200" s="108"/>
      <c r="I200" s="83"/>
      <c r="J200" s="12">
        <f t="shared" si="12"/>
        <v>2025.18</v>
      </c>
      <c r="L200" s="98">
        <v>0.21990000000000001</v>
      </c>
    </row>
    <row r="201" spans="1:12" ht="28" thickTop="1" thickBot="1" x14ac:dyDescent="0.25">
      <c r="A201" s="38">
        <v>46112</v>
      </c>
      <c r="B201" s="9" t="s">
        <v>60</v>
      </c>
      <c r="C201" s="9" t="s">
        <v>61</v>
      </c>
      <c r="D201" s="9" t="s">
        <v>144</v>
      </c>
      <c r="E201" s="47" t="s">
        <v>180</v>
      </c>
      <c r="F201" s="52">
        <v>1631.63</v>
      </c>
      <c r="G201" s="52">
        <v>1100</v>
      </c>
      <c r="H201" s="108"/>
      <c r="I201" s="83"/>
      <c r="J201" s="12">
        <f t="shared" si="12"/>
        <v>1100</v>
      </c>
      <c r="L201" s="98">
        <v>0.31830000000000003</v>
      </c>
    </row>
    <row r="202" spans="1:12" ht="28" thickTop="1" thickBot="1" x14ac:dyDescent="0.25">
      <c r="A202" s="38">
        <v>46112</v>
      </c>
      <c r="B202" s="9" t="s">
        <v>60</v>
      </c>
      <c r="C202" s="9" t="s">
        <v>61</v>
      </c>
      <c r="D202" s="9" t="s">
        <v>144</v>
      </c>
      <c r="E202" s="47" t="s">
        <v>280</v>
      </c>
      <c r="F202" s="52">
        <v>19000</v>
      </c>
      <c r="G202" s="52">
        <v>12800</v>
      </c>
      <c r="H202" s="108">
        <v>3200</v>
      </c>
      <c r="I202" s="83"/>
      <c r="J202" s="12">
        <f t="shared" si="12"/>
        <v>9600</v>
      </c>
      <c r="L202" s="98">
        <v>0.32629999999999998</v>
      </c>
    </row>
    <row r="203" spans="1:12" ht="28" thickTop="1" thickBot="1" x14ac:dyDescent="0.25">
      <c r="A203" s="38">
        <v>46112</v>
      </c>
      <c r="B203" s="9" t="s">
        <v>60</v>
      </c>
      <c r="C203" s="9" t="s">
        <v>61</v>
      </c>
      <c r="D203" s="9" t="s">
        <v>144</v>
      </c>
      <c r="E203" s="47" t="s">
        <v>185</v>
      </c>
      <c r="F203" s="52">
        <v>7666.4</v>
      </c>
      <c r="G203" s="52">
        <v>5200</v>
      </c>
      <c r="H203" s="108">
        <v>0</v>
      </c>
      <c r="I203" s="83"/>
      <c r="J203" s="12">
        <f t="shared" si="12"/>
        <v>5200</v>
      </c>
      <c r="L203" s="98">
        <v>0.32169999999999999</v>
      </c>
    </row>
    <row r="204" spans="1:12" ht="28" thickTop="1" thickBot="1" x14ac:dyDescent="0.25">
      <c r="A204" s="38">
        <v>46112</v>
      </c>
      <c r="B204" s="9" t="s">
        <v>60</v>
      </c>
      <c r="C204" s="9" t="s">
        <v>61</v>
      </c>
      <c r="D204" s="9" t="s">
        <v>144</v>
      </c>
      <c r="E204" s="47" t="s">
        <v>281</v>
      </c>
      <c r="F204" s="52">
        <v>30240</v>
      </c>
      <c r="G204" s="52">
        <v>25200</v>
      </c>
      <c r="H204" s="108">
        <v>0</v>
      </c>
      <c r="I204" s="83"/>
      <c r="J204" s="12">
        <f t="shared" si="12"/>
        <v>25200</v>
      </c>
      <c r="L204" s="98">
        <v>0.16669999999999999</v>
      </c>
    </row>
    <row r="205" spans="1:12" ht="28" thickTop="1" thickBot="1" x14ac:dyDescent="0.25">
      <c r="A205" s="38">
        <v>46112</v>
      </c>
      <c r="B205" s="9" t="s">
        <v>60</v>
      </c>
      <c r="C205" s="9" t="s">
        <v>61</v>
      </c>
      <c r="D205" s="9" t="s">
        <v>144</v>
      </c>
      <c r="E205" s="47" t="s">
        <v>282</v>
      </c>
      <c r="F205" s="52">
        <v>20755.68</v>
      </c>
      <c r="G205" s="52">
        <v>21240</v>
      </c>
      <c r="H205" s="108">
        <v>0</v>
      </c>
      <c r="I205" s="83"/>
      <c r="J205" s="12">
        <f t="shared" si="12"/>
        <v>21240</v>
      </c>
      <c r="L205" s="98">
        <v>0.24379999999999999</v>
      </c>
    </row>
    <row r="206" spans="1:12" ht="28" thickTop="1" thickBot="1" x14ac:dyDescent="0.25">
      <c r="A206" s="38">
        <v>46112</v>
      </c>
      <c r="B206" s="9" t="s">
        <v>60</v>
      </c>
      <c r="C206" s="9" t="s">
        <v>61</v>
      </c>
      <c r="D206" s="9" t="s">
        <v>144</v>
      </c>
      <c r="E206" s="47" t="s">
        <v>283</v>
      </c>
      <c r="F206" s="52">
        <v>7774.2</v>
      </c>
      <c r="G206" s="52">
        <v>5400</v>
      </c>
      <c r="H206" s="108">
        <v>0</v>
      </c>
      <c r="I206" s="83"/>
      <c r="J206" s="12">
        <f t="shared" si="12"/>
        <v>5400</v>
      </c>
      <c r="L206" s="98">
        <v>0.3054</v>
      </c>
    </row>
    <row r="207" spans="1:12" ht="28" thickTop="1" thickBot="1" x14ac:dyDescent="0.25">
      <c r="A207" s="38">
        <v>46112</v>
      </c>
      <c r="B207" s="9" t="s">
        <v>60</v>
      </c>
      <c r="C207" s="9" t="s">
        <v>61</v>
      </c>
      <c r="D207" s="9" t="s">
        <v>144</v>
      </c>
      <c r="E207" s="47" t="s">
        <v>284</v>
      </c>
      <c r="F207" s="52">
        <v>137926</v>
      </c>
      <c r="G207" s="52">
        <v>97226.11</v>
      </c>
      <c r="H207" s="108">
        <v>38227.599999999999</v>
      </c>
      <c r="I207" s="83"/>
      <c r="J207" s="12">
        <f t="shared" si="12"/>
        <v>58998.51</v>
      </c>
      <c r="L207" s="98">
        <v>0.29509999999999997</v>
      </c>
    </row>
    <row r="208" spans="1:12" ht="28" thickTop="1" thickBot="1" x14ac:dyDescent="0.25">
      <c r="A208" s="38">
        <v>46112</v>
      </c>
      <c r="B208" s="9" t="s">
        <v>60</v>
      </c>
      <c r="C208" s="9" t="s">
        <v>61</v>
      </c>
      <c r="D208" s="9" t="s">
        <v>144</v>
      </c>
      <c r="E208" s="47" t="s">
        <v>285</v>
      </c>
      <c r="F208" s="52">
        <v>22880</v>
      </c>
      <c r="G208" s="52">
        <v>14080</v>
      </c>
      <c r="H208" s="108"/>
      <c r="I208" s="83"/>
      <c r="J208" s="12">
        <f t="shared" si="12"/>
        <v>14080</v>
      </c>
      <c r="L208" s="98">
        <v>0.3846</v>
      </c>
    </row>
    <row r="209" spans="1:12" ht="28" thickTop="1" thickBot="1" x14ac:dyDescent="0.25">
      <c r="A209" s="38">
        <v>46112</v>
      </c>
      <c r="B209" s="9" t="s">
        <v>60</v>
      </c>
      <c r="C209" s="9" t="s">
        <v>61</v>
      </c>
      <c r="D209" s="9" t="s">
        <v>144</v>
      </c>
      <c r="E209" s="47" t="s">
        <v>179</v>
      </c>
      <c r="F209" s="52">
        <v>2800</v>
      </c>
      <c r="G209" s="52">
        <v>2100</v>
      </c>
      <c r="H209" s="108"/>
      <c r="I209" s="83"/>
      <c r="J209" s="12">
        <f t="shared" si="12"/>
        <v>2100</v>
      </c>
      <c r="L209" s="98">
        <v>0.21429999999999999</v>
      </c>
    </row>
    <row r="210" spans="1:12" ht="28" thickTop="1" thickBot="1" x14ac:dyDescent="0.25">
      <c r="A210" s="38">
        <v>46112</v>
      </c>
      <c r="B210" s="9" t="s">
        <v>60</v>
      </c>
      <c r="C210" s="9" t="s">
        <v>61</v>
      </c>
      <c r="D210" s="9" t="s">
        <v>144</v>
      </c>
      <c r="E210" s="47" t="s">
        <v>286</v>
      </c>
      <c r="F210" s="52">
        <v>8343.9</v>
      </c>
      <c r="G210" s="52">
        <v>6120</v>
      </c>
      <c r="H210" s="108"/>
      <c r="I210" s="83"/>
      <c r="J210" s="12">
        <f t="shared" si="12"/>
        <v>6120</v>
      </c>
      <c r="L210" s="98">
        <v>0.23573</v>
      </c>
    </row>
    <row r="211" spans="1:12" ht="28" thickTop="1" thickBot="1" x14ac:dyDescent="0.25">
      <c r="A211" s="38">
        <v>46112</v>
      </c>
      <c r="B211" s="9" t="s">
        <v>60</v>
      </c>
      <c r="C211" s="9" t="s">
        <v>61</v>
      </c>
      <c r="D211" s="9" t="s">
        <v>144</v>
      </c>
      <c r="E211" s="47" t="s">
        <v>287</v>
      </c>
      <c r="F211" s="52">
        <v>640</v>
      </c>
      <c r="G211" s="52">
        <v>480</v>
      </c>
      <c r="H211" s="108"/>
      <c r="I211" s="83"/>
      <c r="J211" s="12">
        <f t="shared" si="12"/>
        <v>480</v>
      </c>
      <c r="L211" s="98">
        <v>0.25</v>
      </c>
    </row>
    <row r="212" spans="1:12" ht="28" thickTop="1" thickBot="1" x14ac:dyDescent="0.25">
      <c r="A212" s="38">
        <v>46112</v>
      </c>
      <c r="B212" s="9" t="s">
        <v>60</v>
      </c>
      <c r="C212" s="9" t="s">
        <v>61</v>
      </c>
      <c r="D212" s="9" t="s">
        <v>144</v>
      </c>
      <c r="E212" s="48" t="s">
        <v>288</v>
      </c>
      <c r="F212" s="55">
        <v>0</v>
      </c>
      <c r="G212" s="55">
        <v>0</v>
      </c>
      <c r="H212" s="108"/>
      <c r="I212" s="83"/>
      <c r="J212" s="12">
        <f t="shared" si="12"/>
        <v>0</v>
      </c>
      <c r="K212" s="87" t="s">
        <v>318</v>
      </c>
      <c r="L212" s="98">
        <v>0</v>
      </c>
    </row>
    <row r="213" spans="1:12" ht="28" thickTop="1" thickBot="1" x14ac:dyDescent="0.25">
      <c r="A213" s="38">
        <v>46112</v>
      </c>
      <c r="B213" s="9" t="s">
        <v>60</v>
      </c>
      <c r="C213" s="9" t="s">
        <v>61</v>
      </c>
      <c r="D213" s="9" t="s">
        <v>19</v>
      </c>
      <c r="E213" s="49" t="s">
        <v>289</v>
      </c>
      <c r="F213" s="53">
        <v>125985.60000000001</v>
      </c>
      <c r="G213" s="53">
        <v>102617.89</v>
      </c>
      <c r="H213" s="108">
        <v>28599.82</v>
      </c>
      <c r="I213" s="83"/>
      <c r="J213" s="12">
        <f t="shared" si="12"/>
        <v>74018.070000000007</v>
      </c>
      <c r="L213" s="98">
        <v>0.2109</v>
      </c>
    </row>
    <row r="214" spans="1:12" ht="28" thickTop="1" thickBot="1" x14ac:dyDescent="0.25">
      <c r="A214" s="38">
        <v>46112</v>
      </c>
      <c r="B214" s="9" t="s">
        <v>60</v>
      </c>
      <c r="C214" s="9" t="s">
        <v>61</v>
      </c>
      <c r="D214" s="9" t="s">
        <v>144</v>
      </c>
      <c r="E214" s="50" t="s">
        <v>290</v>
      </c>
      <c r="F214" s="56">
        <v>0</v>
      </c>
      <c r="G214" s="56">
        <v>0</v>
      </c>
      <c r="H214" s="108"/>
      <c r="I214" s="83"/>
      <c r="J214" s="12">
        <f t="shared" si="12"/>
        <v>0</v>
      </c>
      <c r="L214" s="98">
        <v>0.215</v>
      </c>
    </row>
    <row r="215" spans="1:12" ht="32" thickTop="1" thickBot="1" x14ac:dyDescent="0.25">
      <c r="A215" s="38">
        <v>46112</v>
      </c>
      <c r="B215" s="9" t="s">
        <v>60</v>
      </c>
      <c r="C215" s="9" t="s">
        <v>61</v>
      </c>
      <c r="D215" s="9" t="s">
        <v>144</v>
      </c>
      <c r="E215" s="49" t="s">
        <v>291</v>
      </c>
      <c r="F215" s="53">
        <v>0</v>
      </c>
      <c r="G215" s="53">
        <v>0</v>
      </c>
      <c r="H215" s="108"/>
      <c r="I215" s="83" t="s">
        <v>358</v>
      </c>
      <c r="J215" s="12">
        <f t="shared" si="12"/>
        <v>0</v>
      </c>
      <c r="L215" s="98">
        <v>0</v>
      </c>
    </row>
    <row r="216" spans="1:12" ht="28" thickTop="1" thickBot="1" x14ac:dyDescent="0.25">
      <c r="A216" s="38">
        <v>46112</v>
      </c>
      <c r="B216" s="9" t="s">
        <v>60</v>
      </c>
      <c r="C216" s="9" t="s">
        <v>61</v>
      </c>
      <c r="D216" s="9" t="s">
        <v>144</v>
      </c>
      <c r="E216" s="51" t="s">
        <v>292</v>
      </c>
      <c r="F216" s="57">
        <v>0</v>
      </c>
      <c r="G216" s="57">
        <v>0</v>
      </c>
      <c r="H216" s="108"/>
      <c r="I216" s="83"/>
      <c r="J216" s="12">
        <f t="shared" si="12"/>
        <v>0</v>
      </c>
      <c r="L216" s="98"/>
    </row>
    <row r="217" spans="1:12" ht="28" thickTop="1" thickBot="1" x14ac:dyDescent="0.25">
      <c r="A217" s="38">
        <v>46112</v>
      </c>
      <c r="B217" s="9" t="s">
        <v>60</v>
      </c>
      <c r="C217" s="9" t="s">
        <v>61</v>
      </c>
      <c r="D217" s="9" t="s">
        <v>144</v>
      </c>
      <c r="E217" s="47" t="s">
        <v>293</v>
      </c>
      <c r="F217" s="52">
        <v>46017.95</v>
      </c>
      <c r="G217" s="52">
        <v>27000.16</v>
      </c>
      <c r="H217" s="108"/>
      <c r="I217" s="83"/>
      <c r="J217" s="12">
        <f t="shared" si="12"/>
        <v>27000.16</v>
      </c>
      <c r="L217" s="98">
        <v>0.41589999999999999</v>
      </c>
    </row>
    <row r="218" spans="1:12" ht="28" thickTop="1" thickBot="1" x14ac:dyDescent="0.25">
      <c r="A218" s="38">
        <v>46112</v>
      </c>
      <c r="B218" s="9" t="s">
        <v>60</v>
      </c>
      <c r="C218" s="9" t="s">
        <v>61</v>
      </c>
      <c r="D218" s="9" t="s">
        <v>144</v>
      </c>
      <c r="E218" s="73" t="s">
        <v>297</v>
      </c>
      <c r="F218" s="74">
        <v>1980813.92</v>
      </c>
      <c r="G218" s="75">
        <v>1563674.26</v>
      </c>
      <c r="H218" s="108">
        <v>66894.34</v>
      </c>
      <c r="I218" s="83" t="s">
        <v>346</v>
      </c>
      <c r="J218" s="12">
        <f t="shared" si="12"/>
        <v>1496779.92</v>
      </c>
      <c r="L218" s="98">
        <v>0.22</v>
      </c>
    </row>
    <row r="219" spans="1:12" ht="28" thickTop="1" thickBot="1" x14ac:dyDescent="0.25">
      <c r="A219" s="38">
        <v>46112</v>
      </c>
      <c r="B219" s="9" t="s">
        <v>60</v>
      </c>
      <c r="C219" s="9" t="s">
        <v>61</v>
      </c>
      <c r="D219" s="9" t="s">
        <v>144</v>
      </c>
      <c r="E219" s="47" t="s">
        <v>298</v>
      </c>
      <c r="F219" s="60">
        <v>14750</v>
      </c>
      <c r="G219" s="52">
        <v>14700</v>
      </c>
      <c r="H219" s="108"/>
      <c r="I219" s="83" t="s">
        <v>346</v>
      </c>
      <c r="J219" s="12">
        <f t="shared" si="12"/>
        <v>14700</v>
      </c>
      <c r="L219" s="98">
        <v>0</v>
      </c>
    </row>
    <row r="220" spans="1:12" ht="28" thickTop="1" thickBot="1" x14ac:dyDescent="0.25">
      <c r="A220" s="38">
        <v>46112</v>
      </c>
      <c r="B220" s="9" t="s">
        <v>60</v>
      </c>
      <c r="C220" s="9" t="s">
        <v>61</v>
      </c>
      <c r="D220" s="9" t="s">
        <v>144</v>
      </c>
      <c r="E220" s="47" t="s">
        <v>299</v>
      </c>
      <c r="F220" s="60">
        <v>45243.5</v>
      </c>
      <c r="G220" s="52">
        <v>34500</v>
      </c>
      <c r="H220" s="108"/>
      <c r="I220" s="83"/>
      <c r="J220" s="12">
        <f t="shared" si="12"/>
        <v>34500</v>
      </c>
      <c r="L220" s="98">
        <v>0.24</v>
      </c>
    </row>
    <row r="221" spans="1:12" ht="28" thickTop="1" thickBot="1" x14ac:dyDescent="0.25">
      <c r="A221" s="38">
        <v>46112</v>
      </c>
      <c r="B221" s="9" t="s">
        <v>60</v>
      </c>
      <c r="C221" s="9" t="s">
        <v>61</v>
      </c>
      <c r="D221" s="9" t="s">
        <v>144</v>
      </c>
      <c r="E221" s="47" t="s">
        <v>294</v>
      </c>
      <c r="F221" s="58">
        <v>1716.26</v>
      </c>
      <c r="G221" s="59">
        <v>1440</v>
      </c>
      <c r="H221" s="108"/>
      <c r="I221" s="83"/>
      <c r="J221" s="12">
        <f t="shared" si="12"/>
        <v>1440</v>
      </c>
      <c r="L221" s="98">
        <v>5.6099999999999997E-2</v>
      </c>
    </row>
    <row r="222" spans="1:12" ht="28" thickTop="1" thickBot="1" x14ac:dyDescent="0.25">
      <c r="A222" s="38"/>
      <c r="B222" s="9"/>
      <c r="C222" s="9" t="s">
        <v>61</v>
      </c>
      <c r="D222" s="9" t="s">
        <v>144</v>
      </c>
      <c r="E222" s="47" t="s">
        <v>359</v>
      </c>
      <c r="F222" s="58">
        <v>8700</v>
      </c>
      <c r="G222" s="59">
        <v>6600</v>
      </c>
      <c r="H222" s="108"/>
      <c r="I222" s="83"/>
      <c r="J222" s="12">
        <f t="shared" ref="J222:J223" si="13">G222-H222</f>
        <v>6600</v>
      </c>
      <c r="L222" s="134"/>
    </row>
    <row r="223" spans="1:12" ht="28" thickTop="1" thickBot="1" x14ac:dyDescent="0.25">
      <c r="A223" s="38"/>
      <c r="B223" s="9"/>
      <c r="C223" s="9" t="s">
        <v>61</v>
      </c>
      <c r="D223" s="9" t="s">
        <v>144</v>
      </c>
      <c r="E223" s="47" t="s">
        <v>360</v>
      </c>
      <c r="F223" s="58">
        <v>8140</v>
      </c>
      <c r="G223" s="59">
        <v>6191.69</v>
      </c>
      <c r="H223" s="108">
        <v>1133.3399999999999</v>
      </c>
      <c r="I223" s="83"/>
      <c r="J223" s="12">
        <f t="shared" si="13"/>
        <v>5058.3499999999995</v>
      </c>
      <c r="L223" s="134"/>
    </row>
    <row r="224" spans="1:12" ht="28" thickTop="1" thickBot="1" x14ac:dyDescent="0.25">
      <c r="A224" s="38"/>
      <c r="B224" s="9"/>
      <c r="C224" s="9" t="s">
        <v>61</v>
      </c>
      <c r="D224" s="9" t="s">
        <v>144</v>
      </c>
      <c r="E224" s="47" t="s">
        <v>361</v>
      </c>
      <c r="F224" s="58">
        <v>134406.60999999999</v>
      </c>
      <c r="G224" s="59">
        <v>94574.95</v>
      </c>
      <c r="H224" s="108">
        <v>30208.06</v>
      </c>
      <c r="I224" s="83"/>
      <c r="J224" s="12">
        <f t="shared" ref="J224" si="14">G224-H224</f>
        <v>64366.89</v>
      </c>
      <c r="L224" s="134"/>
    </row>
    <row r="225" spans="1:10" ht="17" thickTop="1" thickBot="1" x14ac:dyDescent="0.25">
      <c r="A225" s="38"/>
      <c r="B225" s="9"/>
      <c r="C225" s="9"/>
      <c r="D225" s="9"/>
      <c r="E225" s="6"/>
      <c r="F225" s="6"/>
      <c r="G225" s="6"/>
      <c r="H225" s="92"/>
      <c r="I225" s="83"/>
      <c r="J225" s="22"/>
    </row>
    <row r="226" spans="1:10" ht="21" thickTop="1" thickBot="1" x14ac:dyDescent="0.3">
      <c r="A226" s="38"/>
      <c r="B226" s="9"/>
      <c r="C226" s="9"/>
      <c r="D226" s="9"/>
      <c r="E226" s="61" t="s">
        <v>296</v>
      </c>
      <c r="F226" s="62">
        <f>SUM(F163:F225)</f>
        <v>4541887.0199999996</v>
      </c>
      <c r="G226" s="63">
        <f>SUM(G163:G225)</f>
        <v>3481551.1999999997</v>
      </c>
      <c r="H226" s="155">
        <f>SUM(H163:H224)</f>
        <v>177586.93</v>
      </c>
      <c r="I226" s="83"/>
      <c r="J226" s="22"/>
    </row>
    <row r="227" spans="1:10" ht="17" thickTop="1" thickBot="1" x14ac:dyDescent="0.25">
      <c r="A227" s="38"/>
      <c r="B227" s="9"/>
      <c r="C227" s="9"/>
      <c r="D227" s="9"/>
      <c r="E227" s="65"/>
      <c r="F227" s="65"/>
      <c r="G227" s="9"/>
      <c r="H227" s="94"/>
      <c r="I227" s="83"/>
      <c r="J227" s="22"/>
    </row>
    <row r="228" spans="1:10" ht="21" thickTop="1" thickBot="1" x14ac:dyDescent="0.3">
      <c r="A228" s="38"/>
      <c r="B228" s="9"/>
      <c r="C228" s="9"/>
      <c r="D228" s="64"/>
      <c r="E228" s="67" t="s">
        <v>302</v>
      </c>
      <c r="F228" s="68" t="s">
        <v>303</v>
      </c>
      <c r="G228" s="9"/>
      <c r="H228" s="94"/>
      <c r="I228" s="83"/>
      <c r="J228" s="22"/>
    </row>
    <row r="229" spans="1:10" ht="21" thickTop="1" thickBot="1" x14ac:dyDescent="0.3">
      <c r="A229" s="38"/>
      <c r="B229" s="9"/>
      <c r="C229" s="9"/>
      <c r="D229" s="64"/>
      <c r="E229" s="77">
        <v>1060335.82</v>
      </c>
      <c r="F229" s="69">
        <f>E229/F226</f>
        <v>0.2334571105205519</v>
      </c>
      <c r="G229" s="9"/>
      <c r="H229" s="94"/>
      <c r="I229" s="83"/>
      <c r="J229" s="22"/>
    </row>
    <row r="230" spans="1:10" ht="17" thickTop="1" thickBot="1" x14ac:dyDescent="0.25">
      <c r="A230" s="6"/>
      <c r="B230" s="6"/>
      <c r="C230" s="6"/>
      <c r="D230" s="6"/>
      <c r="E230" s="66"/>
      <c r="F230" s="66"/>
      <c r="G230" s="6"/>
      <c r="H230" s="93"/>
      <c r="I230" s="79"/>
      <c r="J230" s="6"/>
    </row>
    <row r="231" spans="1:10" ht="17" thickTop="1" thickBot="1" x14ac:dyDescent="0.25">
      <c r="A231" s="6"/>
      <c r="B231" s="6"/>
      <c r="C231" s="6"/>
      <c r="D231" s="6"/>
      <c r="E231" s="6"/>
      <c r="F231" s="23">
        <v>4541887.0199999996</v>
      </c>
      <c r="G231" s="6"/>
      <c r="H231" s="93"/>
      <c r="I231" s="79"/>
      <c r="J231" s="6"/>
    </row>
    <row r="232" spans="1:10" ht="22.25" customHeight="1" thickTop="1" thickBot="1" x14ac:dyDescent="0.25">
      <c r="A232" s="3"/>
      <c r="B232" s="3"/>
      <c r="C232" s="150" t="s">
        <v>235</v>
      </c>
      <c r="D232" s="151"/>
      <c r="E232" s="151"/>
      <c r="F232" s="151"/>
      <c r="G232" s="3"/>
      <c r="H232" s="89"/>
      <c r="I232" s="80"/>
      <c r="J232" s="3"/>
    </row>
    <row r="233" spans="1:10" ht="17" thickTop="1" thickBot="1" x14ac:dyDescent="0.25">
      <c r="A233" s="6"/>
      <c r="B233" s="6"/>
      <c r="C233" s="6"/>
      <c r="D233" s="6"/>
      <c r="E233" s="6"/>
      <c r="F233" s="6"/>
      <c r="G233" s="6"/>
      <c r="H233" s="93"/>
      <c r="I233" s="79"/>
      <c r="J233" s="6"/>
    </row>
    <row r="234" spans="1:10" ht="41" thickTop="1" thickBot="1" x14ac:dyDescent="0.25">
      <c r="A234" s="4" t="s">
        <v>0</v>
      </c>
      <c r="B234" s="5" t="s">
        <v>1</v>
      </c>
      <c r="C234" s="5" t="s">
        <v>2</v>
      </c>
      <c r="D234" s="5" t="s">
        <v>3</v>
      </c>
      <c r="E234" s="5" t="s">
        <v>4</v>
      </c>
      <c r="F234" s="5" t="s">
        <v>5</v>
      </c>
      <c r="G234" s="5" t="s">
        <v>6</v>
      </c>
      <c r="H234" s="90" t="s">
        <v>7</v>
      </c>
      <c r="I234" s="81" t="s">
        <v>307</v>
      </c>
      <c r="J234" s="5" t="s">
        <v>8</v>
      </c>
    </row>
    <row r="235" spans="1:10" ht="17" thickTop="1" thickBot="1" x14ac:dyDescent="0.25">
      <c r="A235" s="6"/>
      <c r="B235" s="6"/>
      <c r="C235" s="6"/>
      <c r="D235" s="6"/>
      <c r="E235" s="6"/>
      <c r="F235" s="7">
        <f>SUM(F236:F241)</f>
        <v>62413.259814999998</v>
      </c>
      <c r="G235" s="7">
        <f>SUM(G236:G241)</f>
        <v>62573.86</v>
      </c>
      <c r="H235" s="91">
        <f>SUM(H236:H242)</f>
        <v>0</v>
      </c>
      <c r="I235" s="82"/>
      <c r="J235" s="7">
        <f>SUM(J236:J241)</f>
        <v>62413.259814999998</v>
      </c>
    </row>
    <row r="236" spans="1:10" ht="17" thickTop="1" thickBot="1" x14ac:dyDescent="0.25">
      <c r="A236" s="6"/>
      <c r="B236" s="9" t="s">
        <v>126</v>
      </c>
      <c r="C236" s="9" t="s">
        <v>127</v>
      </c>
      <c r="D236" s="9" t="s">
        <v>128</v>
      </c>
      <c r="E236" s="9" t="s">
        <v>129</v>
      </c>
      <c r="F236" s="10">
        <v>3160.56</v>
      </c>
      <c r="G236" s="10">
        <v>3160.56</v>
      </c>
      <c r="H236" s="92">
        <v>0</v>
      </c>
      <c r="I236" s="83" t="s">
        <v>350</v>
      </c>
      <c r="J236" s="10">
        <f>F236-H236</f>
        <v>3160.56</v>
      </c>
    </row>
    <row r="237" spans="1:10" ht="17" thickTop="1" thickBot="1" x14ac:dyDescent="0.25">
      <c r="A237" s="6"/>
      <c r="B237" s="9" t="s">
        <v>126</v>
      </c>
      <c r="C237" s="9" t="s">
        <v>127</v>
      </c>
      <c r="D237" s="9" t="s">
        <v>130</v>
      </c>
      <c r="E237" s="9" t="s">
        <v>129</v>
      </c>
      <c r="F237" s="10">
        <v>41666.67</v>
      </c>
      <c r="G237" s="10">
        <v>41666.670185000003</v>
      </c>
      <c r="H237" s="97">
        <v>0</v>
      </c>
      <c r="I237" s="83" t="s">
        <v>350</v>
      </c>
      <c r="J237" s="10">
        <f t="shared" ref="J237:J240" si="15">F237-H237</f>
        <v>41666.67</v>
      </c>
    </row>
    <row r="238" spans="1:10" ht="17" thickTop="1" thickBot="1" x14ac:dyDescent="0.25">
      <c r="A238" s="6"/>
      <c r="B238" s="9" t="s">
        <v>126</v>
      </c>
      <c r="C238" s="9" t="s">
        <v>127</v>
      </c>
      <c r="D238" s="9" t="s">
        <v>131</v>
      </c>
      <c r="E238" s="9" t="s">
        <v>129</v>
      </c>
      <c r="F238" s="10">
        <v>6024.5598149999996</v>
      </c>
      <c r="G238" s="10">
        <v>6024.5598149999996</v>
      </c>
      <c r="H238" s="97">
        <v>0</v>
      </c>
      <c r="I238" s="83" t="s">
        <v>350</v>
      </c>
      <c r="J238" s="10">
        <f t="shared" si="15"/>
        <v>6024.5598149999996</v>
      </c>
    </row>
    <row r="239" spans="1:10" ht="17" thickTop="1" thickBot="1" x14ac:dyDescent="0.25">
      <c r="A239" s="6"/>
      <c r="B239" s="9" t="s">
        <v>60</v>
      </c>
      <c r="C239" s="9" t="s">
        <v>61</v>
      </c>
      <c r="D239" s="9" t="s">
        <v>132</v>
      </c>
      <c r="E239" s="9" t="s">
        <v>133</v>
      </c>
      <c r="F239" s="10">
        <v>80</v>
      </c>
      <c r="G239" s="10">
        <v>80</v>
      </c>
      <c r="H239" s="92">
        <v>0</v>
      </c>
      <c r="I239" s="83"/>
      <c r="J239" s="10">
        <f t="shared" si="15"/>
        <v>80</v>
      </c>
    </row>
    <row r="240" spans="1:10" ht="17" thickTop="1" thickBot="1" x14ac:dyDescent="0.25">
      <c r="A240" s="6"/>
      <c r="B240" s="11" t="s">
        <v>140</v>
      </c>
      <c r="C240" s="9" t="s">
        <v>141</v>
      </c>
      <c r="D240" s="9" t="s">
        <v>142</v>
      </c>
      <c r="E240" s="9" t="s">
        <v>143</v>
      </c>
      <c r="F240" s="10">
        <v>11481.47</v>
      </c>
      <c r="G240" s="10">
        <v>11642.07</v>
      </c>
      <c r="H240" s="97">
        <v>0</v>
      </c>
      <c r="I240" s="83"/>
      <c r="J240" s="10">
        <f t="shared" si="15"/>
        <v>11481.47</v>
      </c>
    </row>
    <row r="241" spans="1:10" ht="17" thickTop="1" thickBot="1" x14ac:dyDescent="0.25">
      <c r="A241" s="6"/>
      <c r="B241" s="11"/>
      <c r="C241" s="9"/>
      <c r="D241" s="9"/>
      <c r="E241" s="9"/>
      <c r="F241" s="10"/>
      <c r="G241" s="10"/>
      <c r="H241" s="92"/>
      <c r="I241" s="83"/>
      <c r="J241" s="10"/>
    </row>
    <row r="242" spans="1:10" ht="17" thickTop="1" thickBot="1" x14ac:dyDescent="0.25">
      <c r="A242" s="6"/>
      <c r="B242" s="6"/>
      <c r="C242" s="6"/>
      <c r="D242" s="6"/>
      <c r="E242" s="6"/>
      <c r="F242" s="6"/>
      <c r="G242" s="6"/>
      <c r="H242" s="93"/>
      <c r="I242" s="79"/>
      <c r="J242" s="6"/>
    </row>
    <row r="243" spans="1:10" ht="22.25" customHeight="1" thickTop="1" thickBot="1" x14ac:dyDescent="0.25">
      <c r="A243" s="3"/>
      <c r="B243" s="3"/>
      <c r="C243" s="150" t="s">
        <v>190</v>
      </c>
      <c r="D243" s="151"/>
      <c r="E243" s="151"/>
      <c r="F243" s="151"/>
      <c r="G243" s="3"/>
      <c r="H243" s="89"/>
      <c r="I243" s="80"/>
      <c r="J243" s="3"/>
    </row>
    <row r="244" spans="1:10" ht="17" thickTop="1" thickBot="1" x14ac:dyDescent="0.25">
      <c r="A244" s="6"/>
      <c r="B244" s="6"/>
      <c r="C244" s="6"/>
      <c r="D244" s="6"/>
      <c r="E244" s="6"/>
      <c r="F244" s="6"/>
      <c r="G244" s="6"/>
      <c r="H244" s="93"/>
      <c r="I244" s="79"/>
      <c r="J244" s="6"/>
    </row>
    <row r="245" spans="1:10" ht="41" thickTop="1" thickBot="1" x14ac:dyDescent="0.25">
      <c r="A245" s="4" t="s">
        <v>0</v>
      </c>
      <c r="B245" s="5" t="s">
        <v>1</v>
      </c>
      <c r="C245" s="5" t="s">
        <v>2</v>
      </c>
      <c r="D245" s="5" t="s">
        <v>3</v>
      </c>
      <c r="E245" s="5" t="s">
        <v>4</v>
      </c>
      <c r="F245" s="5" t="s">
        <v>5</v>
      </c>
      <c r="G245" s="5" t="s">
        <v>6</v>
      </c>
      <c r="H245" s="90" t="s">
        <v>7</v>
      </c>
      <c r="I245" s="81"/>
      <c r="J245" s="5" t="s">
        <v>8</v>
      </c>
    </row>
    <row r="246" spans="1:10" ht="17" thickTop="1" thickBot="1" x14ac:dyDescent="0.25">
      <c r="A246" s="6"/>
      <c r="B246" s="6"/>
      <c r="C246" s="6"/>
      <c r="D246" s="6"/>
      <c r="E246" s="6"/>
      <c r="F246" s="7">
        <f>SUM(F247:F281)-F257-F268</f>
        <v>94729.799999999988</v>
      </c>
      <c r="G246" s="7">
        <f>SUM(G247:G280)</f>
        <v>94652.75</v>
      </c>
      <c r="H246" s="91">
        <f>SUM(H247:H277)</f>
        <v>0</v>
      </c>
      <c r="I246" s="82"/>
      <c r="J246" s="7">
        <f>SUM(J247:J280)</f>
        <v>94729.8</v>
      </c>
    </row>
    <row r="247" spans="1:10" ht="17" thickTop="1" thickBot="1" x14ac:dyDescent="0.25">
      <c r="A247" s="6"/>
      <c r="B247" s="11" t="s">
        <v>99</v>
      </c>
      <c r="C247" s="9" t="s">
        <v>100</v>
      </c>
      <c r="D247" s="9" t="s">
        <v>47</v>
      </c>
      <c r="E247" s="9" t="s">
        <v>98</v>
      </c>
      <c r="F247" s="10">
        <v>139.9</v>
      </c>
      <c r="G247" s="10">
        <v>139.9</v>
      </c>
      <c r="H247" s="92"/>
      <c r="I247" s="83"/>
      <c r="J247" s="10">
        <f t="shared" ref="J247:J254" si="16">F247-H247</f>
        <v>139.9</v>
      </c>
    </row>
    <row r="248" spans="1:10" ht="17" thickTop="1" thickBot="1" x14ac:dyDescent="0.25">
      <c r="A248" s="38">
        <v>46091</v>
      </c>
      <c r="B248" s="11" t="s">
        <v>49</v>
      </c>
      <c r="C248" s="9" t="s">
        <v>50</v>
      </c>
      <c r="D248" s="9" t="s">
        <v>51</v>
      </c>
      <c r="E248" s="9" t="s">
        <v>10</v>
      </c>
      <c r="F248" s="10">
        <v>0</v>
      </c>
      <c r="G248" s="10">
        <v>0</v>
      </c>
      <c r="H248" s="92">
        <v>0</v>
      </c>
      <c r="I248" s="83"/>
      <c r="J248" s="10">
        <f t="shared" si="16"/>
        <v>0</v>
      </c>
    </row>
    <row r="249" spans="1:10" ht="28" thickTop="1" thickBot="1" x14ac:dyDescent="0.25">
      <c r="A249" s="38">
        <v>46083</v>
      </c>
      <c r="B249" s="11" t="s">
        <v>29</v>
      </c>
      <c r="C249" s="9" t="s">
        <v>30</v>
      </c>
      <c r="D249" s="9" t="s">
        <v>31</v>
      </c>
      <c r="E249" s="9" t="s">
        <v>10</v>
      </c>
      <c r="F249" s="10">
        <v>195</v>
      </c>
      <c r="G249" s="10">
        <v>195</v>
      </c>
      <c r="H249" s="92">
        <v>0</v>
      </c>
      <c r="I249" s="83"/>
      <c r="J249" s="10">
        <f t="shared" si="16"/>
        <v>195</v>
      </c>
    </row>
    <row r="250" spans="1:10" ht="17" thickTop="1" thickBot="1" x14ac:dyDescent="0.25">
      <c r="A250" s="6"/>
      <c r="B250" s="11" t="s">
        <v>26</v>
      </c>
      <c r="C250" s="9" t="s">
        <v>27</v>
      </c>
      <c r="D250" s="9" t="s">
        <v>36</v>
      </c>
      <c r="E250" s="9" t="s">
        <v>10</v>
      </c>
      <c r="F250" s="135">
        <v>1686.83</v>
      </c>
      <c r="G250" s="135">
        <v>1686.83</v>
      </c>
      <c r="H250" s="92">
        <v>0</v>
      </c>
      <c r="I250" s="83"/>
      <c r="J250" s="10">
        <f t="shared" si="16"/>
        <v>1686.83</v>
      </c>
    </row>
    <row r="251" spans="1:10" ht="17" thickTop="1" thickBot="1" x14ac:dyDescent="0.25">
      <c r="A251" s="6"/>
      <c r="B251" s="11" t="s">
        <v>103</v>
      </c>
      <c r="C251" s="9" t="s">
        <v>319</v>
      </c>
      <c r="D251" s="9" t="s">
        <v>28</v>
      </c>
      <c r="E251" s="9" t="s">
        <v>98</v>
      </c>
      <c r="F251" s="10">
        <v>3500</v>
      </c>
      <c r="G251" s="10">
        <v>3500</v>
      </c>
      <c r="H251" s="92">
        <v>0</v>
      </c>
      <c r="I251" s="83"/>
      <c r="J251" s="10">
        <f t="shared" si="16"/>
        <v>3500</v>
      </c>
    </row>
    <row r="252" spans="1:10" ht="17" thickTop="1" thickBot="1" x14ac:dyDescent="0.25">
      <c r="A252" s="6"/>
      <c r="B252" s="11" t="s">
        <v>105</v>
      </c>
      <c r="C252" s="9" t="s">
        <v>106</v>
      </c>
      <c r="D252" s="9" t="s">
        <v>28</v>
      </c>
      <c r="E252" s="9" t="s">
        <v>98</v>
      </c>
      <c r="F252" s="10">
        <v>230</v>
      </c>
      <c r="G252" s="10">
        <v>220</v>
      </c>
      <c r="H252" s="92">
        <v>0</v>
      </c>
      <c r="I252" s="83"/>
      <c r="J252" s="10">
        <f t="shared" si="16"/>
        <v>230</v>
      </c>
    </row>
    <row r="253" spans="1:10" ht="13.75" customHeight="1" thickTop="1" thickBot="1" x14ac:dyDescent="0.25">
      <c r="A253" s="6"/>
      <c r="B253" s="11" t="s">
        <v>107</v>
      </c>
      <c r="C253" s="9" t="s">
        <v>108</v>
      </c>
      <c r="D253" s="9" t="s">
        <v>51</v>
      </c>
      <c r="E253" s="9" t="s">
        <v>98</v>
      </c>
      <c r="F253" s="136">
        <v>1229.96</v>
      </c>
      <c r="G253" s="136">
        <v>1229.96</v>
      </c>
      <c r="H253" s="92">
        <v>0</v>
      </c>
      <c r="I253" s="83"/>
      <c r="J253" s="10">
        <f t="shared" si="16"/>
        <v>1229.96</v>
      </c>
    </row>
    <row r="254" spans="1:10" ht="17" thickTop="1" thickBot="1" x14ac:dyDescent="0.25">
      <c r="A254" s="38">
        <v>46083</v>
      </c>
      <c r="B254" s="11" t="s">
        <v>109</v>
      </c>
      <c r="C254" s="9" t="s">
        <v>110</v>
      </c>
      <c r="D254" s="9" t="s">
        <v>28</v>
      </c>
      <c r="E254" s="9" t="s">
        <v>98</v>
      </c>
      <c r="F254" s="10">
        <v>12840.1</v>
      </c>
      <c r="G254" s="10">
        <v>12840.1</v>
      </c>
      <c r="H254" s="92">
        <v>0</v>
      </c>
      <c r="I254" s="83"/>
      <c r="J254" s="10">
        <f t="shared" si="16"/>
        <v>12840.1</v>
      </c>
    </row>
    <row r="255" spans="1:10" ht="17" thickTop="1" thickBot="1" x14ac:dyDescent="0.25">
      <c r="A255" s="6"/>
      <c r="B255" s="11" t="s">
        <v>111</v>
      </c>
      <c r="C255" s="9" t="s">
        <v>112</v>
      </c>
      <c r="D255" s="9" t="s">
        <v>28</v>
      </c>
      <c r="E255" s="9" t="s">
        <v>98</v>
      </c>
      <c r="F255" s="10">
        <v>527.22</v>
      </c>
      <c r="G255" s="10">
        <v>527.22</v>
      </c>
      <c r="H255" s="92">
        <v>0</v>
      </c>
      <c r="I255" s="83"/>
      <c r="J255" s="10">
        <f t="shared" ref="J255:J276" si="17">F255-H255</f>
        <v>527.22</v>
      </c>
    </row>
    <row r="256" spans="1:10" ht="17" thickTop="1" thickBot="1" x14ac:dyDescent="0.25">
      <c r="A256" s="6"/>
      <c r="B256" s="11"/>
      <c r="C256" s="110" t="s">
        <v>331</v>
      </c>
      <c r="D256" s="110" t="s">
        <v>332</v>
      </c>
      <c r="E256" s="9" t="s">
        <v>98</v>
      </c>
      <c r="F256" s="10">
        <v>296.37</v>
      </c>
      <c r="G256" s="10">
        <v>296.37</v>
      </c>
      <c r="H256" s="92">
        <v>0</v>
      </c>
      <c r="I256" s="83"/>
      <c r="J256" s="10">
        <f t="shared" si="17"/>
        <v>296.37</v>
      </c>
    </row>
    <row r="257" spans="1:11" ht="17" thickTop="1" thickBot="1" x14ac:dyDescent="0.25">
      <c r="A257" s="6"/>
      <c r="B257" s="11"/>
      <c r="C257" s="9"/>
      <c r="D257" s="9"/>
      <c r="E257" s="9"/>
      <c r="F257" s="10">
        <f>SUM(F247:F256)</f>
        <v>20645.38</v>
      </c>
      <c r="G257" s="10"/>
      <c r="H257" s="92"/>
      <c r="I257" s="83"/>
      <c r="J257" s="10"/>
    </row>
    <row r="258" spans="1:11" ht="17" thickTop="1" thickBot="1" x14ac:dyDescent="0.25">
      <c r="A258" s="6"/>
      <c r="B258" s="11"/>
      <c r="C258" s="9"/>
      <c r="D258" s="9"/>
      <c r="E258" s="9"/>
      <c r="F258" s="10"/>
      <c r="G258" s="10"/>
      <c r="H258" s="92"/>
      <c r="I258" s="83"/>
      <c r="J258" s="10">
        <f t="shared" si="17"/>
        <v>0</v>
      </c>
    </row>
    <row r="259" spans="1:11" s="36" customFormat="1" ht="17" thickTop="1" thickBot="1" x14ac:dyDescent="0.25">
      <c r="A259" s="39">
        <v>46086</v>
      </c>
      <c r="B259" s="33" t="s">
        <v>134</v>
      </c>
      <c r="C259" s="34" t="s">
        <v>135</v>
      </c>
      <c r="D259" s="34" t="s">
        <v>136</v>
      </c>
      <c r="E259" s="34" t="s">
        <v>137</v>
      </c>
      <c r="F259" s="35">
        <v>2491.67</v>
      </c>
      <c r="G259" s="35">
        <v>2491.67</v>
      </c>
      <c r="H259" s="35">
        <v>0</v>
      </c>
      <c r="I259" s="84"/>
      <c r="J259" s="10">
        <f t="shared" si="17"/>
        <v>2491.67</v>
      </c>
    </row>
    <row r="260" spans="1:11" ht="17" thickTop="1" thickBot="1" x14ac:dyDescent="0.25">
      <c r="A260" s="6"/>
      <c r="B260" s="9" t="s">
        <v>138</v>
      </c>
      <c r="C260" s="9" t="s">
        <v>320</v>
      </c>
      <c r="D260" s="9" t="s">
        <v>136</v>
      </c>
      <c r="E260" s="9" t="s">
        <v>137</v>
      </c>
      <c r="F260" s="10">
        <v>2062.9899999999998</v>
      </c>
      <c r="G260" s="10">
        <v>2062.9899999999998</v>
      </c>
      <c r="H260" s="10">
        <v>0</v>
      </c>
      <c r="I260" s="84"/>
      <c r="J260" s="10">
        <f t="shared" si="17"/>
        <v>2062.9899999999998</v>
      </c>
    </row>
    <row r="261" spans="1:11" ht="17" thickTop="1" thickBot="1" x14ac:dyDescent="0.25">
      <c r="A261" s="6"/>
      <c r="B261" s="9"/>
      <c r="C261" s="9" t="s">
        <v>139</v>
      </c>
      <c r="D261" s="9" t="s">
        <v>321</v>
      </c>
      <c r="E261" s="9"/>
      <c r="F261" s="10">
        <v>0</v>
      </c>
      <c r="G261" s="10">
        <v>0</v>
      </c>
      <c r="H261" s="92">
        <v>0</v>
      </c>
      <c r="I261" s="83"/>
      <c r="J261" s="10">
        <f t="shared" si="17"/>
        <v>0</v>
      </c>
    </row>
    <row r="262" spans="1:11" s="36" customFormat="1" ht="17" thickTop="1" thickBot="1" x14ac:dyDescent="0.25">
      <c r="A262" s="39">
        <v>46086</v>
      </c>
      <c r="B262" s="34" t="s">
        <v>134</v>
      </c>
      <c r="C262" s="34" t="s">
        <v>135</v>
      </c>
      <c r="D262" s="34" t="s">
        <v>136</v>
      </c>
      <c r="E262" s="34" t="s">
        <v>137</v>
      </c>
      <c r="F262" s="35">
        <v>2491.67</v>
      </c>
      <c r="G262" s="35">
        <v>2491.67</v>
      </c>
      <c r="H262" s="35">
        <v>0</v>
      </c>
      <c r="I262" s="84"/>
      <c r="J262" s="10">
        <f t="shared" si="17"/>
        <v>2491.67</v>
      </c>
    </row>
    <row r="263" spans="1:11" s="36" customFormat="1" ht="17" thickTop="1" thickBot="1" x14ac:dyDescent="0.25">
      <c r="A263" s="39">
        <v>46086</v>
      </c>
      <c r="B263" s="34" t="s">
        <v>134</v>
      </c>
      <c r="C263" s="34" t="s">
        <v>135</v>
      </c>
      <c r="D263" s="34" t="s">
        <v>136</v>
      </c>
      <c r="E263" s="34" t="s">
        <v>137</v>
      </c>
      <c r="F263" s="35">
        <v>3285.72</v>
      </c>
      <c r="G263" s="35">
        <v>3285.72</v>
      </c>
      <c r="H263" s="35">
        <v>0</v>
      </c>
      <c r="I263" s="84"/>
      <c r="J263" s="10">
        <f t="shared" si="17"/>
        <v>3285.72</v>
      </c>
    </row>
    <row r="264" spans="1:11" s="36" customFormat="1" ht="17" thickTop="1" thickBot="1" x14ac:dyDescent="0.25">
      <c r="A264" s="39">
        <v>46086</v>
      </c>
      <c r="B264" s="34" t="s">
        <v>134</v>
      </c>
      <c r="C264" s="34" t="s">
        <v>135</v>
      </c>
      <c r="D264" s="34" t="s">
        <v>136</v>
      </c>
      <c r="E264" s="34" t="s">
        <v>137</v>
      </c>
      <c r="F264" s="35">
        <v>3285.72</v>
      </c>
      <c r="G264" s="35">
        <v>3285.72</v>
      </c>
      <c r="H264" s="35">
        <v>0</v>
      </c>
      <c r="I264" s="84"/>
      <c r="J264" s="10">
        <f t="shared" si="17"/>
        <v>3285.72</v>
      </c>
    </row>
    <row r="265" spans="1:11" s="36" customFormat="1" ht="17" thickTop="1" thickBot="1" x14ac:dyDescent="0.25">
      <c r="A265" s="39">
        <v>46086</v>
      </c>
      <c r="B265" s="34" t="s">
        <v>134</v>
      </c>
      <c r="C265" s="34" t="s">
        <v>135</v>
      </c>
      <c r="D265" s="34" t="s">
        <v>136</v>
      </c>
      <c r="E265" s="34" t="s">
        <v>137</v>
      </c>
      <c r="F265" s="35">
        <v>3285.72</v>
      </c>
      <c r="G265" s="35">
        <v>3285.72</v>
      </c>
      <c r="H265" s="35">
        <v>0</v>
      </c>
      <c r="I265" s="84"/>
      <c r="J265" s="10">
        <f t="shared" si="17"/>
        <v>3285.72</v>
      </c>
    </row>
    <row r="266" spans="1:11" ht="17" thickTop="1" thickBot="1" x14ac:dyDescent="0.25">
      <c r="A266" s="6"/>
      <c r="B266" s="11" t="s">
        <v>237</v>
      </c>
      <c r="C266" s="11" t="s">
        <v>238</v>
      </c>
      <c r="D266" s="9" t="s">
        <v>136</v>
      </c>
      <c r="E266" s="9" t="s">
        <v>137</v>
      </c>
      <c r="F266" s="10">
        <v>1500</v>
      </c>
      <c r="G266" s="10">
        <v>1500</v>
      </c>
      <c r="H266" s="10"/>
      <c r="I266" s="84"/>
      <c r="J266" s="10">
        <f t="shared" si="17"/>
        <v>1500</v>
      </c>
    </row>
    <row r="267" spans="1:11" ht="17" thickTop="1" thickBot="1" x14ac:dyDescent="0.25">
      <c r="A267" s="6"/>
      <c r="B267" s="11"/>
      <c r="C267" s="11"/>
      <c r="D267" s="9"/>
      <c r="E267" s="9"/>
      <c r="F267" s="10"/>
      <c r="G267" s="10"/>
      <c r="H267" s="92"/>
      <c r="I267" s="83"/>
      <c r="J267" s="10">
        <f t="shared" si="17"/>
        <v>0</v>
      </c>
    </row>
    <row r="268" spans="1:11" ht="17" thickTop="1" thickBot="1" x14ac:dyDescent="0.25">
      <c r="A268" s="6"/>
      <c r="B268" s="11"/>
      <c r="C268" s="11"/>
      <c r="D268" s="9"/>
      <c r="E268" s="9"/>
      <c r="F268" s="10">
        <f>SUM(F259:F266)</f>
        <v>18403.489999999998</v>
      </c>
      <c r="G268" s="10"/>
      <c r="H268" s="92"/>
      <c r="I268" s="83"/>
      <c r="J268" s="10"/>
    </row>
    <row r="269" spans="1:11" ht="17" thickTop="1" thickBot="1" x14ac:dyDescent="0.25">
      <c r="A269" s="6"/>
      <c r="B269" s="11"/>
      <c r="C269" s="11"/>
      <c r="D269" s="9"/>
      <c r="E269" s="9"/>
      <c r="F269" s="10"/>
      <c r="G269" s="10"/>
      <c r="H269" s="92"/>
      <c r="I269" s="83"/>
      <c r="J269" s="10">
        <f t="shared" si="17"/>
        <v>0</v>
      </c>
    </row>
    <row r="270" spans="1:11" ht="17" thickTop="1" thickBot="1" x14ac:dyDescent="0.25">
      <c r="A270" s="8"/>
      <c r="B270" s="11" t="s">
        <v>58</v>
      </c>
      <c r="C270" s="9" t="s">
        <v>59</v>
      </c>
      <c r="D270" s="9" t="s">
        <v>35</v>
      </c>
      <c r="E270" s="9" t="s">
        <v>10</v>
      </c>
      <c r="F270" s="24">
        <v>1966.23</v>
      </c>
      <c r="G270" s="24">
        <v>1909.31</v>
      </c>
      <c r="H270" s="92">
        <v>0</v>
      </c>
      <c r="I270" s="83"/>
      <c r="J270" s="10">
        <f t="shared" si="17"/>
        <v>1966.23</v>
      </c>
      <c r="K270" t="s">
        <v>233</v>
      </c>
    </row>
    <row r="271" spans="1:11" ht="17" thickTop="1" thickBot="1" x14ac:dyDescent="0.25">
      <c r="A271" s="8"/>
      <c r="B271" s="9"/>
      <c r="C271" s="9" t="s">
        <v>232</v>
      </c>
      <c r="D271" s="9" t="s">
        <v>35</v>
      </c>
      <c r="E271" s="9" t="s">
        <v>10</v>
      </c>
      <c r="F271" s="24">
        <v>640.13</v>
      </c>
      <c r="G271" s="24">
        <v>630</v>
      </c>
      <c r="H271" s="92">
        <v>0</v>
      </c>
      <c r="I271" s="83"/>
      <c r="J271" s="10">
        <f t="shared" si="17"/>
        <v>640.13</v>
      </c>
      <c r="K271" t="s">
        <v>234</v>
      </c>
    </row>
    <row r="272" spans="1:11" ht="17" thickTop="1" thickBot="1" x14ac:dyDescent="0.25">
      <c r="A272" s="71"/>
      <c r="B272" s="70"/>
      <c r="C272" s="138" t="s">
        <v>367</v>
      </c>
      <c r="D272" s="138" t="s">
        <v>368</v>
      </c>
      <c r="E272" s="70"/>
      <c r="F272" s="72"/>
      <c r="G272" s="72"/>
      <c r="H272" s="92"/>
      <c r="I272" s="86"/>
      <c r="J272" s="10"/>
    </row>
    <row r="273" spans="1:10" ht="17" thickTop="1" thickBot="1" x14ac:dyDescent="0.25">
      <c r="A273" s="71"/>
      <c r="B273" s="70"/>
      <c r="C273" s="139" t="s">
        <v>363</v>
      </c>
      <c r="D273" s="143" t="s">
        <v>369</v>
      </c>
      <c r="E273" s="9" t="s">
        <v>98</v>
      </c>
      <c r="F273" s="144">
        <v>2424.37</v>
      </c>
      <c r="G273" s="144">
        <v>2424.37</v>
      </c>
      <c r="H273" s="92">
        <v>0</v>
      </c>
      <c r="I273" s="86"/>
      <c r="J273" s="10">
        <f t="shared" si="17"/>
        <v>2424.37</v>
      </c>
    </row>
    <row r="274" spans="1:10" ht="17" thickTop="1" thickBot="1" x14ac:dyDescent="0.25">
      <c r="A274" s="71"/>
      <c r="B274" s="70"/>
      <c r="C274" s="140" t="s">
        <v>364</v>
      </c>
      <c r="D274" s="143" t="s">
        <v>370</v>
      </c>
      <c r="E274" s="9" t="s">
        <v>98</v>
      </c>
      <c r="F274" s="144">
        <v>14676.74</v>
      </c>
      <c r="G274" s="144">
        <v>14676.74</v>
      </c>
      <c r="H274" s="92">
        <v>0</v>
      </c>
      <c r="I274" s="86"/>
      <c r="J274" s="10">
        <f t="shared" si="17"/>
        <v>14676.74</v>
      </c>
    </row>
    <row r="275" spans="1:10" ht="17" thickTop="1" thickBot="1" x14ac:dyDescent="0.25">
      <c r="A275" s="71"/>
      <c r="B275" s="70"/>
      <c r="C275" s="141" t="s">
        <v>365</v>
      </c>
      <c r="D275" s="143" t="s">
        <v>371</v>
      </c>
      <c r="E275" s="9" t="s">
        <v>98</v>
      </c>
      <c r="F275" s="144">
        <v>23609.95</v>
      </c>
      <c r="G275" s="144">
        <v>23609.95</v>
      </c>
      <c r="H275" s="92">
        <v>0</v>
      </c>
      <c r="I275" s="86"/>
      <c r="J275" s="10">
        <f t="shared" si="17"/>
        <v>23609.95</v>
      </c>
    </row>
    <row r="276" spans="1:10" ht="17" thickTop="1" thickBot="1" x14ac:dyDescent="0.25">
      <c r="A276" s="71"/>
      <c r="B276" s="70"/>
      <c r="C276" s="142" t="s">
        <v>366</v>
      </c>
      <c r="D276" s="143" t="s">
        <v>372</v>
      </c>
      <c r="E276" s="9" t="s">
        <v>98</v>
      </c>
      <c r="F276" s="144">
        <v>12363.51</v>
      </c>
      <c r="G276" s="144">
        <v>12363.51</v>
      </c>
      <c r="H276" s="92">
        <v>0</v>
      </c>
      <c r="I276" s="86"/>
      <c r="J276" s="10">
        <f t="shared" si="17"/>
        <v>12363.51</v>
      </c>
    </row>
    <row r="277" spans="1:10" ht="17" thickTop="1" thickBot="1" x14ac:dyDescent="0.25">
      <c r="A277" s="71"/>
      <c r="B277" s="70"/>
      <c r="C277" s="70"/>
      <c r="D277" s="70"/>
      <c r="E277" s="70"/>
      <c r="F277" s="72"/>
      <c r="G277" s="72"/>
      <c r="H277" s="92"/>
      <c r="I277" s="86"/>
      <c r="J277" s="10"/>
    </row>
    <row r="278" spans="1:10" ht="16" thickTop="1" x14ac:dyDescent="0.2">
      <c r="A278" s="71"/>
      <c r="B278" s="70"/>
      <c r="C278" s="70"/>
      <c r="D278" s="70"/>
      <c r="E278" s="70"/>
      <c r="F278" s="72"/>
      <c r="G278" s="72"/>
      <c r="H278" s="95"/>
      <c r="I278" s="86"/>
      <c r="J278" s="72"/>
    </row>
    <row r="279" spans="1:10" x14ac:dyDescent="0.2">
      <c r="A279" s="71"/>
      <c r="B279" s="70"/>
      <c r="C279" s="70"/>
      <c r="D279" s="70"/>
      <c r="E279" s="70"/>
      <c r="F279" s="72"/>
      <c r="G279" s="72"/>
      <c r="H279" s="95"/>
      <c r="I279" s="86"/>
      <c r="J279" s="72"/>
    </row>
    <row r="280" spans="1:10" x14ac:dyDescent="0.2">
      <c r="A280" s="71"/>
      <c r="B280" s="70"/>
      <c r="C280" s="70"/>
      <c r="D280" s="70"/>
      <c r="E280" s="70"/>
      <c r="F280" s="72"/>
      <c r="G280" s="72"/>
      <c r="H280" s="96"/>
      <c r="I280" s="86"/>
      <c r="J280" s="72"/>
    </row>
    <row r="281" spans="1:10" x14ac:dyDescent="0.2">
      <c r="A281" s="71"/>
      <c r="B281" s="70"/>
      <c r="C281" s="70"/>
      <c r="D281" s="70"/>
      <c r="E281" s="70"/>
      <c r="F281" s="72"/>
      <c r="G281" s="72"/>
      <c r="H281" s="96"/>
      <c r="I281" s="86"/>
      <c r="J281" s="72"/>
    </row>
    <row r="282" spans="1:10" x14ac:dyDescent="0.2">
      <c r="A282" s="71"/>
      <c r="B282" s="70"/>
      <c r="C282" s="70"/>
      <c r="D282" s="70"/>
      <c r="E282" s="70"/>
      <c r="F282" s="72"/>
      <c r="G282" s="72"/>
      <c r="H282" s="96"/>
      <c r="I282" s="86"/>
      <c r="J282" s="72"/>
    </row>
    <row r="283" spans="1:10" x14ac:dyDescent="0.2">
      <c r="A283" s="71"/>
      <c r="B283" s="70"/>
      <c r="C283" s="70"/>
      <c r="D283" s="70"/>
      <c r="E283" s="70"/>
      <c r="F283" s="72"/>
      <c r="G283" s="72"/>
      <c r="H283" s="96"/>
      <c r="I283" s="86"/>
      <c r="J283" s="72"/>
    </row>
    <row r="287" spans="1:10" x14ac:dyDescent="0.2">
      <c r="G287" s="1">
        <f>F5+F66+F87+F115+F125+G226+F235+F246-H226</f>
        <v>4570030.6798149999</v>
      </c>
    </row>
    <row r="288" spans="1:10" x14ac:dyDescent="0.2">
      <c r="E288" s="25" t="s">
        <v>247</v>
      </c>
      <c r="F288" s="26">
        <f>F5+F66+F87+F115+F125+G226+F235+F246-H226</f>
        <v>4570030.6798149999</v>
      </c>
      <c r="I288" s="78" t="s">
        <v>325</v>
      </c>
      <c r="J288" t="s">
        <v>324</v>
      </c>
    </row>
    <row r="289" spans="3:11" x14ac:dyDescent="0.2">
      <c r="I289" s="102">
        <v>1592420.31</v>
      </c>
      <c r="J289" s="1">
        <f>J5+J66+J87+J115+J161+J235+J246</f>
        <v>4231511.4098149994</v>
      </c>
      <c r="K289" s="104">
        <f>I289-J289</f>
        <v>-2639091.0998149994</v>
      </c>
    </row>
    <row r="290" spans="3:11" ht="16" thickBot="1" x14ac:dyDescent="0.25"/>
    <row r="291" spans="3:11" ht="17" thickTop="1" thickBot="1" x14ac:dyDescent="0.25">
      <c r="E291" s="76" t="s">
        <v>304</v>
      </c>
      <c r="F291" s="23">
        <v>4541887.0199999996</v>
      </c>
      <c r="I291" s="78" t="s">
        <v>326</v>
      </c>
      <c r="J291" t="s">
        <v>327</v>
      </c>
    </row>
    <row r="292" spans="3:11" ht="16" thickTop="1" x14ac:dyDescent="0.2">
      <c r="E292" s="76" t="s">
        <v>305</v>
      </c>
      <c r="F292" s="156">
        <f>F288</f>
        <v>4570030.6798149999</v>
      </c>
      <c r="G292" s="1">
        <f>F292-378000</f>
        <v>4192030.6798149999</v>
      </c>
      <c r="I292" s="102">
        <v>3834602.1</v>
      </c>
      <c r="J292" s="103">
        <f>I292+K289</f>
        <v>1195511.0001850007</v>
      </c>
    </row>
    <row r="294" spans="3:11" x14ac:dyDescent="0.2">
      <c r="E294" s="76" t="s">
        <v>306</v>
      </c>
      <c r="F294" s="1">
        <f>F291-F292</f>
        <v>-28143.65981500037</v>
      </c>
    </row>
    <row r="296" spans="3:11" x14ac:dyDescent="0.2">
      <c r="C296" t="s">
        <v>383</v>
      </c>
    </row>
    <row r="297" spans="3:11" x14ac:dyDescent="0.2">
      <c r="C297" t="s">
        <v>384</v>
      </c>
    </row>
  </sheetData>
  <mergeCells count="10">
    <mergeCell ref="C243:F243"/>
    <mergeCell ref="A2:J2"/>
    <mergeCell ref="C3:F3"/>
    <mergeCell ref="C63:F63"/>
    <mergeCell ref="C84:F84"/>
    <mergeCell ref="C232:F232"/>
    <mergeCell ref="C112:F112"/>
    <mergeCell ref="C124:F124"/>
    <mergeCell ref="C158:F158"/>
    <mergeCell ref="C86:F86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B434-5137-6042-B5D4-2E9F2210A33E}">
  <dimension ref="A1:G68"/>
  <sheetViews>
    <sheetView workbookViewId="0">
      <selection activeCell="G4" sqref="G4"/>
    </sheetView>
  </sheetViews>
  <sheetFormatPr baseColWidth="10" defaultRowHeight="15" x14ac:dyDescent="0.2"/>
  <cols>
    <col min="2" max="2" width="51.6640625" customWidth="1"/>
    <col min="3" max="3" width="62.6640625" customWidth="1"/>
    <col min="4" max="4" width="49.1640625" customWidth="1"/>
    <col min="5" max="5" width="40.5" customWidth="1"/>
    <col min="6" max="6" width="52" customWidth="1"/>
    <col min="7" max="7" width="32.6640625" customWidth="1"/>
  </cols>
  <sheetData>
    <row r="1" spans="1:7" ht="53" customHeight="1" thickTop="1" thickBo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300</v>
      </c>
      <c r="G1" s="157" t="s">
        <v>388</v>
      </c>
    </row>
    <row r="2" spans="1:7" ht="17" thickTop="1" thickBot="1" x14ac:dyDescent="0.25">
      <c r="A2" s="4"/>
      <c r="B2" s="5"/>
      <c r="C2" s="5"/>
      <c r="D2" s="5"/>
      <c r="E2" s="99"/>
      <c r="F2" s="99"/>
    </row>
    <row r="3" spans="1:7" ht="17" thickTop="1" thickBot="1" x14ac:dyDescent="0.25">
      <c r="A3" s="4"/>
      <c r="B3" s="5"/>
      <c r="C3" s="5"/>
      <c r="D3" s="5"/>
      <c r="E3" s="99"/>
      <c r="F3" s="99"/>
    </row>
    <row r="4" spans="1:7" ht="80" thickTop="1" thickBot="1" x14ac:dyDescent="0.25">
      <c r="A4" s="38">
        <v>46112</v>
      </c>
      <c r="B4" s="9" t="s">
        <v>60</v>
      </c>
      <c r="C4" s="9" t="s">
        <v>61</v>
      </c>
      <c r="D4" s="9" t="s">
        <v>144</v>
      </c>
      <c r="E4" s="40" t="s">
        <v>174</v>
      </c>
      <c r="F4" s="52">
        <v>25600</v>
      </c>
    </row>
    <row r="5" spans="1:7" ht="80" thickTop="1" thickBot="1" x14ac:dyDescent="0.25">
      <c r="A5" s="38">
        <v>46112</v>
      </c>
      <c r="B5" s="9" t="s">
        <v>60</v>
      </c>
      <c r="C5" s="9" t="s">
        <v>61</v>
      </c>
      <c r="D5" s="9" t="s">
        <v>144</v>
      </c>
      <c r="E5" s="40" t="s">
        <v>252</v>
      </c>
      <c r="F5" s="52">
        <v>15050</v>
      </c>
    </row>
    <row r="6" spans="1:7" ht="80" thickTop="1" thickBot="1" x14ac:dyDescent="0.25">
      <c r="A6" s="38">
        <v>46112</v>
      </c>
      <c r="B6" s="9" t="s">
        <v>157</v>
      </c>
      <c r="C6" s="9" t="s">
        <v>61</v>
      </c>
      <c r="D6" s="9" t="s">
        <v>144</v>
      </c>
      <c r="E6" s="41" t="s">
        <v>253</v>
      </c>
      <c r="F6" s="52">
        <v>5450</v>
      </c>
    </row>
    <row r="7" spans="1:7" ht="80" thickTop="1" thickBot="1" x14ac:dyDescent="0.25">
      <c r="A7" s="38">
        <v>46112</v>
      </c>
      <c r="B7" s="9" t="s">
        <v>60</v>
      </c>
      <c r="C7" s="9" t="s">
        <v>61</v>
      </c>
      <c r="D7" s="9" t="s">
        <v>144</v>
      </c>
      <c r="E7" s="40" t="s">
        <v>254</v>
      </c>
      <c r="F7" s="52">
        <v>2700</v>
      </c>
    </row>
    <row r="8" spans="1:7" ht="80" thickTop="1" thickBot="1" x14ac:dyDescent="0.25">
      <c r="A8" s="38">
        <v>46112</v>
      </c>
      <c r="B8" s="9" t="s">
        <v>60</v>
      </c>
      <c r="C8" s="9" t="s">
        <v>61</v>
      </c>
      <c r="D8" s="9" t="s">
        <v>144</v>
      </c>
      <c r="E8" s="41" t="s">
        <v>255</v>
      </c>
      <c r="F8" s="52">
        <v>20516.669999999998</v>
      </c>
    </row>
    <row r="9" spans="1:7" ht="80" thickTop="1" thickBot="1" x14ac:dyDescent="0.25">
      <c r="A9" s="38">
        <v>46112</v>
      </c>
      <c r="B9" s="9" t="s">
        <v>60</v>
      </c>
      <c r="C9" s="11" t="s">
        <v>61</v>
      </c>
      <c r="D9" s="9" t="s">
        <v>144</v>
      </c>
      <c r="E9" s="40" t="s">
        <v>256</v>
      </c>
      <c r="F9" s="52">
        <v>192745.03</v>
      </c>
    </row>
    <row r="10" spans="1:7" ht="80" thickTop="1" thickBot="1" x14ac:dyDescent="0.25">
      <c r="A10" s="38">
        <v>46112</v>
      </c>
      <c r="B10" s="9" t="s">
        <v>60</v>
      </c>
      <c r="C10" s="9" t="s">
        <v>61</v>
      </c>
      <c r="D10" s="9" t="s">
        <v>144</v>
      </c>
      <c r="E10" s="40" t="s">
        <v>257</v>
      </c>
      <c r="F10" s="52">
        <v>90468.9</v>
      </c>
    </row>
    <row r="11" spans="1:7" ht="80" thickTop="1" thickBot="1" x14ac:dyDescent="0.25">
      <c r="A11" s="38">
        <v>46112</v>
      </c>
      <c r="B11" s="9" t="s">
        <v>60</v>
      </c>
      <c r="C11" s="9" t="s">
        <v>61</v>
      </c>
      <c r="D11" s="9" t="s">
        <v>144</v>
      </c>
      <c r="E11" s="40" t="s">
        <v>258</v>
      </c>
      <c r="F11" s="52">
        <v>31266.66</v>
      </c>
    </row>
    <row r="12" spans="1:7" ht="80" thickTop="1" thickBot="1" x14ac:dyDescent="0.25">
      <c r="A12" s="38">
        <v>46112</v>
      </c>
      <c r="B12" s="9" t="s">
        <v>60</v>
      </c>
      <c r="C12" s="9" t="s">
        <v>61</v>
      </c>
      <c r="D12" s="9" t="s">
        <v>144</v>
      </c>
      <c r="E12" s="41" t="s">
        <v>259</v>
      </c>
      <c r="F12" s="52">
        <v>9000</v>
      </c>
    </row>
    <row r="13" spans="1:7" ht="80" thickTop="1" thickBot="1" x14ac:dyDescent="0.25">
      <c r="A13" s="38">
        <v>46112</v>
      </c>
      <c r="B13" s="9" t="s">
        <v>60</v>
      </c>
      <c r="C13" s="9" t="s">
        <v>61</v>
      </c>
      <c r="D13" s="9" t="s">
        <v>144</v>
      </c>
      <c r="E13" s="40" t="s">
        <v>260</v>
      </c>
      <c r="F13" s="52">
        <v>2520</v>
      </c>
    </row>
    <row r="14" spans="1:7" ht="80" thickTop="1" thickBot="1" x14ac:dyDescent="0.25">
      <c r="A14" s="38">
        <v>46112</v>
      </c>
      <c r="B14" s="9" t="s">
        <v>60</v>
      </c>
      <c r="C14" s="9" t="s">
        <v>61</v>
      </c>
      <c r="D14" s="9" t="s">
        <v>144</v>
      </c>
      <c r="E14" s="40" t="s">
        <v>261</v>
      </c>
      <c r="F14" s="52">
        <v>15756.48</v>
      </c>
    </row>
    <row r="15" spans="1:7" ht="80" thickTop="1" thickBot="1" x14ac:dyDescent="0.25">
      <c r="A15" s="38">
        <v>46112</v>
      </c>
      <c r="B15" s="9" t="s">
        <v>60</v>
      </c>
      <c r="C15" s="9" t="s">
        <v>61</v>
      </c>
      <c r="D15" s="9" t="s">
        <v>144</v>
      </c>
      <c r="E15" s="40" t="s">
        <v>178</v>
      </c>
      <c r="F15" s="52">
        <v>14400</v>
      </c>
    </row>
    <row r="16" spans="1:7" ht="80" thickTop="1" thickBot="1" x14ac:dyDescent="0.25">
      <c r="A16" s="38">
        <v>46112</v>
      </c>
      <c r="B16" s="9" t="s">
        <v>60</v>
      </c>
      <c r="C16" s="9" t="s">
        <v>61</v>
      </c>
      <c r="D16" s="9" t="s">
        <v>144</v>
      </c>
      <c r="E16" s="40" t="s">
        <v>262</v>
      </c>
      <c r="F16" s="52">
        <v>9800</v>
      </c>
    </row>
    <row r="17" spans="1:6" ht="80" thickTop="1" thickBot="1" x14ac:dyDescent="0.25">
      <c r="A17" s="38">
        <v>46112</v>
      </c>
      <c r="B17" s="9" t="s">
        <v>60</v>
      </c>
      <c r="C17" s="9" t="s">
        <v>61</v>
      </c>
      <c r="D17" s="9" t="s">
        <v>144</v>
      </c>
      <c r="E17" s="40" t="s">
        <v>181</v>
      </c>
      <c r="F17" s="52">
        <v>13220.21</v>
      </c>
    </row>
    <row r="18" spans="1:6" ht="80" thickTop="1" thickBot="1" x14ac:dyDescent="0.25">
      <c r="A18" s="38">
        <v>46112</v>
      </c>
      <c r="B18" s="9" t="s">
        <v>60</v>
      </c>
      <c r="C18" s="9" t="s">
        <v>61</v>
      </c>
      <c r="D18" s="9" t="s">
        <v>144</v>
      </c>
      <c r="E18" s="41" t="s">
        <v>182</v>
      </c>
      <c r="F18" s="52">
        <v>95447.76</v>
      </c>
    </row>
    <row r="19" spans="1:6" ht="80" thickTop="1" thickBot="1" x14ac:dyDescent="0.25">
      <c r="A19" s="38">
        <v>46112</v>
      </c>
      <c r="B19" s="9" t="s">
        <v>60</v>
      </c>
      <c r="C19" s="9" t="s">
        <v>61</v>
      </c>
      <c r="D19" s="9" t="s">
        <v>144</v>
      </c>
      <c r="E19" s="129" t="s">
        <v>183</v>
      </c>
      <c r="F19" s="130">
        <v>0</v>
      </c>
    </row>
    <row r="20" spans="1:6" ht="80" thickTop="1" thickBot="1" x14ac:dyDescent="0.25">
      <c r="A20" s="38">
        <v>46112</v>
      </c>
      <c r="B20" s="9" t="s">
        <v>60</v>
      </c>
      <c r="C20" s="9" t="s">
        <v>61</v>
      </c>
      <c r="D20" s="9" t="s">
        <v>144</v>
      </c>
      <c r="E20" s="40" t="s">
        <v>263</v>
      </c>
      <c r="F20" s="52">
        <v>21521.94</v>
      </c>
    </row>
    <row r="21" spans="1:6" ht="80" thickTop="1" thickBot="1" x14ac:dyDescent="0.25">
      <c r="A21" s="38">
        <v>46112</v>
      </c>
      <c r="B21" s="9" t="s">
        <v>60</v>
      </c>
      <c r="C21" s="9" t="s">
        <v>61</v>
      </c>
      <c r="D21" s="9" t="s">
        <v>144</v>
      </c>
      <c r="E21" s="42" t="s">
        <v>184</v>
      </c>
      <c r="F21" s="52">
        <v>349799.94</v>
      </c>
    </row>
    <row r="22" spans="1:6" ht="80" thickTop="1" thickBot="1" x14ac:dyDescent="0.25">
      <c r="A22" s="38">
        <v>46112</v>
      </c>
      <c r="B22" s="9" t="s">
        <v>60</v>
      </c>
      <c r="C22" s="9" t="s">
        <v>61</v>
      </c>
      <c r="D22" s="9" t="s">
        <v>144</v>
      </c>
      <c r="E22" s="40" t="s">
        <v>264</v>
      </c>
      <c r="F22" s="52">
        <v>8568.7800000000007</v>
      </c>
    </row>
    <row r="23" spans="1:6" ht="80" thickTop="1" thickBot="1" x14ac:dyDescent="0.25">
      <c r="A23" s="38">
        <v>46112</v>
      </c>
      <c r="B23" s="9" t="s">
        <v>60</v>
      </c>
      <c r="C23" s="9" t="s">
        <v>61</v>
      </c>
      <c r="D23" s="9" t="s">
        <v>144</v>
      </c>
      <c r="E23" s="43" t="s">
        <v>265</v>
      </c>
      <c r="F23" s="52">
        <v>22740.9</v>
      </c>
    </row>
    <row r="24" spans="1:6" ht="80" thickTop="1" thickBot="1" x14ac:dyDescent="0.25">
      <c r="A24" s="38">
        <v>46112</v>
      </c>
      <c r="B24" s="9" t="s">
        <v>60</v>
      </c>
      <c r="C24" s="9" t="s">
        <v>61</v>
      </c>
      <c r="D24" s="9" t="s">
        <v>144</v>
      </c>
      <c r="E24" s="43" t="s">
        <v>266</v>
      </c>
      <c r="F24" s="52">
        <v>7200</v>
      </c>
    </row>
    <row r="25" spans="1:6" ht="80" thickTop="1" thickBot="1" x14ac:dyDescent="0.25">
      <c r="A25" s="38">
        <v>46112</v>
      </c>
      <c r="B25" s="9" t="s">
        <v>60</v>
      </c>
      <c r="C25" s="9" t="s">
        <v>61</v>
      </c>
      <c r="D25" s="9" t="s">
        <v>144</v>
      </c>
      <c r="E25" s="126" t="s">
        <v>267</v>
      </c>
      <c r="F25" s="75">
        <v>223222.75</v>
      </c>
    </row>
    <row r="26" spans="1:6" ht="80" thickTop="1" thickBot="1" x14ac:dyDescent="0.25">
      <c r="A26" s="38">
        <v>46112</v>
      </c>
      <c r="B26" s="9" t="s">
        <v>60</v>
      </c>
      <c r="C26" s="9" t="s">
        <v>61</v>
      </c>
      <c r="D26" s="9" t="s">
        <v>144</v>
      </c>
      <c r="E26" s="43" t="s">
        <v>268</v>
      </c>
      <c r="F26" s="52">
        <v>1447.2</v>
      </c>
    </row>
    <row r="27" spans="1:6" ht="80" thickTop="1" thickBot="1" x14ac:dyDescent="0.25">
      <c r="A27" s="38">
        <v>46112</v>
      </c>
      <c r="B27" s="9" t="s">
        <v>60</v>
      </c>
      <c r="C27" s="9" t="s">
        <v>61</v>
      </c>
      <c r="D27" s="9" t="s">
        <v>144</v>
      </c>
      <c r="E27" s="43" t="s">
        <v>269</v>
      </c>
      <c r="F27" s="52">
        <v>8864.49</v>
      </c>
    </row>
    <row r="28" spans="1:6" ht="80" thickTop="1" thickBot="1" x14ac:dyDescent="0.25">
      <c r="A28" s="38">
        <v>46112</v>
      </c>
      <c r="B28" s="9" t="s">
        <v>60</v>
      </c>
      <c r="C28" s="9" t="s">
        <v>61</v>
      </c>
      <c r="D28" s="9" t="s">
        <v>144</v>
      </c>
      <c r="E28" s="43" t="s">
        <v>270</v>
      </c>
      <c r="F28" s="52">
        <v>16236.16</v>
      </c>
    </row>
    <row r="29" spans="1:6" ht="80" thickTop="1" thickBot="1" x14ac:dyDescent="0.25">
      <c r="A29" s="38">
        <v>46112</v>
      </c>
      <c r="B29" s="9" t="s">
        <v>60</v>
      </c>
      <c r="C29" s="9" t="s">
        <v>61</v>
      </c>
      <c r="D29" s="9" t="s">
        <v>144</v>
      </c>
      <c r="E29" s="43" t="s">
        <v>177</v>
      </c>
      <c r="F29" s="52">
        <v>31700</v>
      </c>
    </row>
    <row r="30" spans="1:6" ht="80" thickTop="1" thickBot="1" x14ac:dyDescent="0.25">
      <c r="A30" s="38">
        <v>46112</v>
      </c>
      <c r="B30" s="9" t="s">
        <v>60</v>
      </c>
      <c r="C30" s="9" t="s">
        <v>61</v>
      </c>
      <c r="D30" s="9" t="s">
        <v>144</v>
      </c>
      <c r="E30" s="43" t="s">
        <v>271</v>
      </c>
      <c r="F30" s="52">
        <v>10987.69</v>
      </c>
    </row>
    <row r="31" spans="1:6" ht="80" thickTop="1" thickBot="1" x14ac:dyDescent="0.25">
      <c r="A31" s="38">
        <v>46112</v>
      </c>
      <c r="B31" s="9" t="s">
        <v>60</v>
      </c>
      <c r="C31" s="9" t="s">
        <v>61</v>
      </c>
      <c r="D31" s="9" t="s">
        <v>144</v>
      </c>
      <c r="E31" s="44" t="s">
        <v>272</v>
      </c>
      <c r="F31" s="54">
        <v>325828.2</v>
      </c>
    </row>
    <row r="32" spans="1:6" ht="80" thickTop="1" thickBot="1" x14ac:dyDescent="0.25">
      <c r="A32" s="38">
        <v>46112</v>
      </c>
      <c r="B32" s="9" t="s">
        <v>60</v>
      </c>
      <c r="C32" s="9" t="s">
        <v>61</v>
      </c>
      <c r="D32" s="9" t="s">
        <v>144</v>
      </c>
      <c r="E32" s="45" t="s">
        <v>273</v>
      </c>
      <c r="F32" s="55">
        <v>0</v>
      </c>
    </row>
    <row r="33" spans="1:6" ht="80" thickTop="1" thickBot="1" x14ac:dyDescent="0.25">
      <c r="A33" s="38">
        <v>46112</v>
      </c>
      <c r="B33" s="9" t="s">
        <v>60</v>
      </c>
      <c r="C33" s="9" t="s">
        <v>61</v>
      </c>
      <c r="D33" s="9" t="s">
        <v>144</v>
      </c>
      <c r="E33" s="43" t="s">
        <v>274</v>
      </c>
      <c r="F33" s="52">
        <v>15052.5</v>
      </c>
    </row>
    <row r="34" spans="1:6" ht="80" thickTop="1" thickBot="1" x14ac:dyDescent="0.25">
      <c r="A34" s="38">
        <v>46112</v>
      </c>
      <c r="B34" s="9" t="s">
        <v>60</v>
      </c>
      <c r="C34" s="9" t="s">
        <v>61</v>
      </c>
      <c r="D34" s="9" t="s">
        <v>144</v>
      </c>
      <c r="E34" s="46" t="s">
        <v>175</v>
      </c>
      <c r="F34" s="56">
        <v>0</v>
      </c>
    </row>
    <row r="35" spans="1:6" ht="80" thickTop="1" thickBot="1" x14ac:dyDescent="0.25">
      <c r="A35" s="38">
        <v>46112</v>
      </c>
      <c r="B35" s="9" t="s">
        <v>60</v>
      </c>
      <c r="C35" s="9" t="s">
        <v>61</v>
      </c>
      <c r="D35" s="9" t="s">
        <v>144</v>
      </c>
      <c r="E35" s="47" t="s">
        <v>275</v>
      </c>
      <c r="F35" s="52">
        <v>6336</v>
      </c>
    </row>
    <row r="36" spans="1:6" ht="80" thickTop="1" thickBot="1" x14ac:dyDescent="0.25">
      <c r="A36" s="38">
        <v>46112</v>
      </c>
      <c r="B36" s="9" t="s">
        <v>60</v>
      </c>
      <c r="C36" s="9" t="s">
        <v>61</v>
      </c>
      <c r="D36" s="9" t="s">
        <v>144</v>
      </c>
      <c r="E36" s="43" t="s">
        <v>276</v>
      </c>
      <c r="F36" s="52">
        <v>68900</v>
      </c>
    </row>
    <row r="37" spans="1:6" ht="80" thickTop="1" thickBot="1" x14ac:dyDescent="0.25">
      <c r="A37" s="38">
        <v>46112</v>
      </c>
      <c r="B37" s="9" t="s">
        <v>60</v>
      </c>
      <c r="C37" s="9" t="s">
        <v>61</v>
      </c>
      <c r="D37" s="9" t="s">
        <v>144</v>
      </c>
      <c r="E37" s="47" t="s">
        <v>277</v>
      </c>
      <c r="F37" s="52">
        <v>204987.44</v>
      </c>
    </row>
    <row r="38" spans="1:6" ht="80" thickTop="1" thickBot="1" x14ac:dyDescent="0.25">
      <c r="A38" s="38">
        <v>46112</v>
      </c>
      <c r="B38" s="9" t="s">
        <v>60</v>
      </c>
      <c r="C38" s="9" t="s">
        <v>61</v>
      </c>
      <c r="D38" s="9" t="s">
        <v>144</v>
      </c>
      <c r="E38" s="47" t="s">
        <v>278</v>
      </c>
      <c r="F38" s="52">
        <v>35594.400000000001</v>
      </c>
    </row>
    <row r="39" spans="1:6" ht="80" thickTop="1" thickBot="1" x14ac:dyDescent="0.25">
      <c r="A39" s="38">
        <v>46112</v>
      </c>
      <c r="B39" s="9" t="s">
        <v>60</v>
      </c>
      <c r="C39" s="9" t="s">
        <v>61</v>
      </c>
      <c r="D39" s="9" t="s">
        <v>144</v>
      </c>
      <c r="E39" s="47" t="s">
        <v>176</v>
      </c>
      <c r="F39" s="52">
        <v>6069.31</v>
      </c>
    </row>
    <row r="40" spans="1:6" ht="80" thickTop="1" thickBot="1" x14ac:dyDescent="0.25">
      <c r="A40" s="38">
        <v>46112</v>
      </c>
      <c r="B40" s="9" t="s">
        <v>60</v>
      </c>
      <c r="C40" s="9" t="s">
        <v>61</v>
      </c>
      <c r="D40" s="9" t="s">
        <v>144</v>
      </c>
      <c r="E40" s="47" t="s">
        <v>145</v>
      </c>
      <c r="F40" s="52">
        <v>4860</v>
      </c>
    </row>
    <row r="41" spans="1:6" ht="80" thickTop="1" thickBot="1" x14ac:dyDescent="0.25">
      <c r="A41" s="38">
        <v>46112</v>
      </c>
      <c r="B41" s="9" t="s">
        <v>60</v>
      </c>
      <c r="C41" s="9" t="s">
        <v>61</v>
      </c>
      <c r="D41" s="9" t="s">
        <v>144</v>
      </c>
      <c r="E41" s="47" t="s">
        <v>279</v>
      </c>
      <c r="F41" s="52">
        <v>2595.96</v>
      </c>
    </row>
    <row r="42" spans="1:6" ht="80" thickTop="1" thickBot="1" x14ac:dyDescent="0.25">
      <c r="A42" s="38">
        <v>46112</v>
      </c>
      <c r="B42" s="9" t="s">
        <v>60</v>
      </c>
      <c r="C42" s="9" t="s">
        <v>61</v>
      </c>
      <c r="D42" s="9" t="s">
        <v>144</v>
      </c>
      <c r="E42" s="47" t="s">
        <v>180</v>
      </c>
      <c r="F42" s="52">
        <v>1631.63</v>
      </c>
    </row>
    <row r="43" spans="1:6" ht="80" thickTop="1" thickBot="1" x14ac:dyDescent="0.25">
      <c r="A43" s="38">
        <v>46112</v>
      </c>
      <c r="B43" s="9" t="s">
        <v>60</v>
      </c>
      <c r="C43" s="9" t="s">
        <v>61</v>
      </c>
      <c r="D43" s="9" t="s">
        <v>144</v>
      </c>
      <c r="E43" s="47" t="s">
        <v>280</v>
      </c>
      <c r="F43" s="52">
        <v>19000</v>
      </c>
    </row>
    <row r="44" spans="1:6" ht="80" thickTop="1" thickBot="1" x14ac:dyDescent="0.25">
      <c r="A44" s="38">
        <v>46112</v>
      </c>
      <c r="B44" s="9" t="s">
        <v>60</v>
      </c>
      <c r="C44" s="9" t="s">
        <v>61</v>
      </c>
      <c r="D44" s="9" t="s">
        <v>144</v>
      </c>
      <c r="E44" s="47" t="s">
        <v>185</v>
      </c>
      <c r="F44" s="52">
        <v>7666.4</v>
      </c>
    </row>
    <row r="45" spans="1:6" ht="80" thickTop="1" thickBot="1" x14ac:dyDescent="0.25">
      <c r="A45" s="38">
        <v>46112</v>
      </c>
      <c r="B45" s="9" t="s">
        <v>60</v>
      </c>
      <c r="C45" s="9" t="s">
        <v>61</v>
      </c>
      <c r="D45" s="9" t="s">
        <v>144</v>
      </c>
      <c r="E45" s="47" t="s">
        <v>281</v>
      </c>
      <c r="F45" s="52">
        <v>30240</v>
      </c>
    </row>
    <row r="46" spans="1:6" ht="80" thickTop="1" thickBot="1" x14ac:dyDescent="0.25">
      <c r="A46" s="38">
        <v>46112</v>
      </c>
      <c r="B46" s="9" t="s">
        <v>60</v>
      </c>
      <c r="C46" s="9" t="s">
        <v>61</v>
      </c>
      <c r="D46" s="9" t="s">
        <v>144</v>
      </c>
      <c r="E46" s="47" t="s">
        <v>282</v>
      </c>
      <c r="F46" s="52">
        <v>20755.68</v>
      </c>
    </row>
    <row r="47" spans="1:6" ht="80" thickTop="1" thickBot="1" x14ac:dyDescent="0.25">
      <c r="A47" s="38">
        <v>46112</v>
      </c>
      <c r="B47" s="9" t="s">
        <v>60</v>
      </c>
      <c r="C47" s="9" t="s">
        <v>61</v>
      </c>
      <c r="D47" s="9" t="s">
        <v>144</v>
      </c>
      <c r="E47" s="47" t="s">
        <v>283</v>
      </c>
      <c r="F47" s="52">
        <v>7774.2</v>
      </c>
    </row>
    <row r="48" spans="1:6" ht="80" thickTop="1" thickBot="1" x14ac:dyDescent="0.25">
      <c r="A48" s="38">
        <v>46112</v>
      </c>
      <c r="B48" s="9" t="s">
        <v>60</v>
      </c>
      <c r="C48" s="9" t="s">
        <v>61</v>
      </c>
      <c r="D48" s="9" t="s">
        <v>144</v>
      </c>
      <c r="E48" s="47" t="s">
        <v>284</v>
      </c>
      <c r="F48" s="52">
        <v>137926</v>
      </c>
    </row>
    <row r="49" spans="1:6" ht="80" thickTop="1" thickBot="1" x14ac:dyDescent="0.25">
      <c r="A49" s="38">
        <v>46112</v>
      </c>
      <c r="B49" s="9" t="s">
        <v>60</v>
      </c>
      <c r="C49" s="9" t="s">
        <v>61</v>
      </c>
      <c r="D49" s="9" t="s">
        <v>144</v>
      </c>
      <c r="E49" s="47" t="s">
        <v>285</v>
      </c>
      <c r="F49" s="52">
        <v>22880</v>
      </c>
    </row>
    <row r="50" spans="1:6" ht="80" thickTop="1" thickBot="1" x14ac:dyDescent="0.25">
      <c r="A50" s="38">
        <v>46112</v>
      </c>
      <c r="B50" s="9" t="s">
        <v>60</v>
      </c>
      <c r="C50" s="9" t="s">
        <v>61</v>
      </c>
      <c r="D50" s="9" t="s">
        <v>144</v>
      </c>
      <c r="E50" s="47" t="s">
        <v>179</v>
      </c>
      <c r="F50" s="52">
        <v>2800</v>
      </c>
    </row>
    <row r="51" spans="1:6" ht="80" thickTop="1" thickBot="1" x14ac:dyDescent="0.25">
      <c r="A51" s="38">
        <v>46112</v>
      </c>
      <c r="B51" s="9" t="s">
        <v>60</v>
      </c>
      <c r="C51" s="9" t="s">
        <v>61</v>
      </c>
      <c r="D51" s="9" t="s">
        <v>144</v>
      </c>
      <c r="E51" s="47" t="s">
        <v>286</v>
      </c>
      <c r="F51" s="52">
        <v>8343.9</v>
      </c>
    </row>
    <row r="52" spans="1:6" ht="80" thickTop="1" thickBot="1" x14ac:dyDescent="0.25">
      <c r="A52" s="38">
        <v>46112</v>
      </c>
      <c r="B52" s="9" t="s">
        <v>60</v>
      </c>
      <c r="C52" s="9" t="s">
        <v>61</v>
      </c>
      <c r="D52" s="9" t="s">
        <v>144</v>
      </c>
      <c r="E52" s="47" t="s">
        <v>287</v>
      </c>
      <c r="F52" s="52">
        <v>640</v>
      </c>
    </row>
    <row r="53" spans="1:6" ht="80" thickTop="1" thickBot="1" x14ac:dyDescent="0.25">
      <c r="A53" s="38">
        <v>46112</v>
      </c>
      <c r="B53" s="9" t="s">
        <v>60</v>
      </c>
      <c r="C53" s="9" t="s">
        <v>61</v>
      </c>
      <c r="D53" s="9" t="s">
        <v>144</v>
      </c>
      <c r="E53" s="48" t="s">
        <v>288</v>
      </c>
      <c r="F53" s="55">
        <v>0</v>
      </c>
    </row>
    <row r="54" spans="1:6" ht="80" thickTop="1" thickBot="1" x14ac:dyDescent="0.25">
      <c r="A54" s="38">
        <v>46112</v>
      </c>
      <c r="B54" s="9" t="s">
        <v>60</v>
      </c>
      <c r="C54" s="9" t="s">
        <v>61</v>
      </c>
      <c r="D54" s="9" t="s">
        <v>19</v>
      </c>
      <c r="E54" s="49" t="s">
        <v>289</v>
      </c>
      <c r="F54" s="53">
        <v>125985.60000000001</v>
      </c>
    </row>
    <row r="55" spans="1:6" ht="80" thickTop="1" thickBot="1" x14ac:dyDescent="0.25">
      <c r="A55" s="38">
        <v>46112</v>
      </c>
      <c r="B55" s="9" t="s">
        <v>60</v>
      </c>
      <c r="C55" s="9" t="s">
        <v>61</v>
      </c>
      <c r="D55" s="9" t="s">
        <v>144</v>
      </c>
      <c r="E55" s="50" t="s">
        <v>290</v>
      </c>
      <c r="F55" s="56">
        <v>0</v>
      </c>
    </row>
    <row r="56" spans="1:6" ht="80" thickTop="1" thickBot="1" x14ac:dyDescent="0.25">
      <c r="A56" s="38">
        <v>46112</v>
      </c>
      <c r="B56" s="9" t="s">
        <v>60</v>
      </c>
      <c r="C56" s="9" t="s">
        <v>61</v>
      </c>
      <c r="D56" s="9" t="s">
        <v>144</v>
      </c>
      <c r="E56" s="49" t="s">
        <v>291</v>
      </c>
      <c r="F56" s="53">
        <v>0</v>
      </c>
    </row>
    <row r="57" spans="1:6" ht="80" thickTop="1" thickBot="1" x14ac:dyDescent="0.25">
      <c r="A57" s="38">
        <v>46112</v>
      </c>
      <c r="B57" s="9" t="s">
        <v>60</v>
      </c>
      <c r="C57" s="9" t="s">
        <v>61</v>
      </c>
      <c r="D57" s="9" t="s">
        <v>144</v>
      </c>
      <c r="E57" s="51" t="s">
        <v>292</v>
      </c>
      <c r="F57" s="57">
        <v>0</v>
      </c>
    </row>
    <row r="58" spans="1:6" ht="80" thickTop="1" thickBot="1" x14ac:dyDescent="0.25">
      <c r="A58" s="38">
        <v>46112</v>
      </c>
      <c r="B58" s="9" t="s">
        <v>60</v>
      </c>
      <c r="C58" s="9" t="s">
        <v>61</v>
      </c>
      <c r="D58" s="9" t="s">
        <v>144</v>
      </c>
      <c r="E58" s="47" t="s">
        <v>293</v>
      </c>
      <c r="F58" s="52">
        <v>46017.95</v>
      </c>
    </row>
    <row r="59" spans="1:6" ht="80" thickTop="1" thickBot="1" x14ac:dyDescent="0.25">
      <c r="A59" s="38">
        <v>46112</v>
      </c>
      <c r="B59" s="9" t="s">
        <v>60</v>
      </c>
      <c r="C59" s="9" t="s">
        <v>61</v>
      </c>
      <c r="D59" s="9" t="s">
        <v>144</v>
      </c>
      <c r="E59" s="73" t="s">
        <v>297</v>
      </c>
      <c r="F59" s="74">
        <v>1980813.92</v>
      </c>
    </row>
    <row r="60" spans="1:6" ht="80" thickTop="1" thickBot="1" x14ac:dyDescent="0.25">
      <c r="A60" s="38">
        <v>46112</v>
      </c>
      <c r="B60" s="9" t="s">
        <v>60</v>
      </c>
      <c r="C60" s="9" t="s">
        <v>61</v>
      </c>
      <c r="D60" s="9" t="s">
        <v>144</v>
      </c>
      <c r="E60" s="47" t="s">
        <v>298</v>
      </c>
      <c r="F60" s="60">
        <v>14750</v>
      </c>
    </row>
    <row r="61" spans="1:6" ht="80" thickTop="1" thickBot="1" x14ac:dyDescent="0.25">
      <c r="A61" s="38">
        <v>46112</v>
      </c>
      <c r="B61" s="9" t="s">
        <v>60</v>
      </c>
      <c r="C61" s="9" t="s">
        <v>61</v>
      </c>
      <c r="D61" s="9" t="s">
        <v>144</v>
      </c>
      <c r="E61" s="47" t="s">
        <v>299</v>
      </c>
      <c r="F61" s="60">
        <v>45243.5</v>
      </c>
    </row>
    <row r="62" spans="1:6" ht="80" thickTop="1" thickBot="1" x14ac:dyDescent="0.25">
      <c r="A62" s="38">
        <v>46112</v>
      </c>
      <c r="B62" s="9" t="s">
        <v>60</v>
      </c>
      <c r="C62" s="9" t="s">
        <v>61</v>
      </c>
      <c r="D62" s="9" t="s">
        <v>144</v>
      </c>
      <c r="E62" s="47" t="s">
        <v>294</v>
      </c>
      <c r="F62" s="58">
        <v>1716.26</v>
      </c>
    </row>
    <row r="63" spans="1:6" ht="80" thickTop="1" thickBot="1" x14ac:dyDescent="0.25">
      <c r="A63" s="38"/>
      <c r="B63" s="9"/>
      <c r="C63" s="9" t="s">
        <v>61</v>
      </c>
      <c r="D63" s="9" t="s">
        <v>144</v>
      </c>
      <c r="E63" s="47" t="s">
        <v>359</v>
      </c>
      <c r="F63" s="58">
        <v>8700</v>
      </c>
    </row>
    <row r="64" spans="1:6" ht="80" thickTop="1" thickBot="1" x14ac:dyDescent="0.25">
      <c r="A64" s="38"/>
      <c r="B64" s="9"/>
      <c r="C64" s="9" t="s">
        <v>61</v>
      </c>
      <c r="D64" s="9" t="s">
        <v>144</v>
      </c>
      <c r="E64" s="47" t="s">
        <v>360</v>
      </c>
      <c r="F64" s="58">
        <v>8140</v>
      </c>
    </row>
    <row r="65" spans="1:6" ht="80" thickTop="1" thickBot="1" x14ac:dyDescent="0.25">
      <c r="A65" s="38"/>
      <c r="B65" s="9"/>
      <c r="C65" s="9" t="s">
        <v>61</v>
      </c>
      <c r="D65" s="9" t="s">
        <v>144</v>
      </c>
      <c r="E65" s="47" t="s">
        <v>361</v>
      </c>
      <c r="F65" s="58">
        <v>134406.60999999999</v>
      </c>
    </row>
    <row r="66" spans="1:6" ht="17" thickTop="1" thickBot="1" x14ac:dyDescent="0.25">
      <c r="A66" s="38"/>
      <c r="B66" s="9"/>
      <c r="C66" s="9"/>
      <c r="D66" s="9"/>
      <c r="E66" s="6"/>
      <c r="F66" s="6"/>
    </row>
    <row r="67" spans="1:6" ht="21" thickTop="1" thickBot="1" x14ac:dyDescent="0.3">
      <c r="A67" s="38"/>
      <c r="B67" s="9"/>
      <c r="C67" s="9"/>
      <c r="D67" s="9"/>
      <c r="E67" s="61" t="s">
        <v>296</v>
      </c>
      <c r="F67" s="62">
        <f>SUM(F4:F66)</f>
        <v>4541887.0199999996</v>
      </c>
    </row>
    <row r="68" spans="1:6" ht="16" thickTop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Contas a Pagar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Hugo Damasceno</cp:lastModifiedBy>
  <dcterms:created xsi:type="dcterms:W3CDTF">2026-01-28T17:53:52Z</dcterms:created>
  <dcterms:modified xsi:type="dcterms:W3CDTF">2026-04-09T03:05:30Z</dcterms:modified>
</cp:coreProperties>
</file>